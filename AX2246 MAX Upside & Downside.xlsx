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y Drive\DLL11706\DLL 11706\AX2246\T+0\"/>
    </mc:Choice>
  </mc:AlternateContent>
  <xr:revisionPtr revIDLastSave="0" documentId="13_ncr:1_{FF2D9F8D-8197-4115-9FF6-CD34A67B05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nBK1xWwfE2zi8f4n2eW5B0fnVbQxm1rckLNW6j2KHc="/>
    </ext>
  </extLst>
</workbook>
</file>

<file path=xl/calcChain.xml><?xml version="1.0" encoding="utf-8"?>
<calcChain xmlns="http://schemas.openxmlformats.org/spreadsheetml/2006/main">
  <c r="A12" i="1" l="1"/>
  <c r="A13" i="1" s="1"/>
  <c r="B11" i="1"/>
  <c r="B10" i="1"/>
  <c r="B9" i="1"/>
  <c r="A14" i="1" l="1"/>
  <c r="B13" i="1"/>
  <c r="C13" i="1" s="1"/>
  <c r="E13" i="1" s="1"/>
  <c r="B12" i="1"/>
  <c r="C12" i="1" s="1"/>
  <c r="E12" i="1" s="1"/>
  <c r="C11" i="1"/>
  <c r="E11" i="1" s="1"/>
  <c r="C9" i="1"/>
  <c r="E9" i="1" s="1"/>
  <c r="C10" i="1"/>
  <c r="E10" i="1" s="1"/>
  <c r="D10" i="1" l="1"/>
  <c r="D11" i="1"/>
  <c r="A15" i="1"/>
  <c r="B14" i="1"/>
  <c r="C14" i="1" s="1"/>
  <c r="E14" i="1" s="1"/>
  <c r="D13" i="1"/>
  <c r="D9" i="1"/>
  <c r="D12" i="1"/>
  <c r="B15" i="1" l="1"/>
  <c r="A16" i="1"/>
  <c r="D14" i="1"/>
  <c r="C15" i="1" l="1"/>
  <c r="E15" i="1" s="1"/>
  <c r="B16" i="1"/>
  <c r="A17" i="1"/>
  <c r="B17" i="1" l="1"/>
  <c r="A18" i="1"/>
  <c r="C16" i="1"/>
  <c r="E16" i="1" s="1"/>
  <c r="D15" i="1"/>
  <c r="C17" i="1" l="1"/>
  <c r="E17" i="1" s="1"/>
  <c r="D16" i="1"/>
  <c r="A19" i="1"/>
  <c r="B18" i="1"/>
  <c r="A20" i="1" l="1"/>
  <c r="B19" i="1"/>
  <c r="C18" i="1"/>
  <c r="D18" i="1" s="1"/>
  <c r="E18" i="1"/>
  <c r="D17" i="1"/>
  <c r="A21" i="1" l="1"/>
  <c r="B20" i="1"/>
  <c r="C19" i="1"/>
  <c r="D19" i="1" s="1"/>
  <c r="A22" i="1" l="1"/>
  <c r="B21" i="1"/>
  <c r="E19" i="1"/>
  <c r="C20" i="1"/>
  <c r="E20" i="1" s="1"/>
  <c r="B22" i="1" l="1"/>
  <c r="A23" i="1"/>
  <c r="D20" i="1"/>
  <c r="C21" i="1"/>
  <c r="D21" i="1" s="1"/>
  <c r="E21" i="1" l="1"/>
  <c r="C22" i="1"/>
  <c r="E22" i="1" s="1"/>
  <c r="B23" i="1"/>
  <c r="A24" i="1"/>
  <c r="D22" i="1" l="1"/>
  <c r="B24" i="1"/>
  <c r="A25" i="1"/>
  <c r="C23" i="1"/>
  <c r="E23" i="1" s="1"/>
  <c r="D23" i="1" l="1"/>
  <c r="C24" i="1"/>
  <c r="E24" i="1" s="1"/>
  <c r="B25" i="1"/>
  <c r="A26" i="1"/>
  <c r="D24" i="1" l="1"/>
  <c r="A27" i="1"/>
  <c r="B26" i="1"/>
  <c r="C25" i="1"/>
  <c r="E25" i="1" s="1"/>
  <c r="D25" i="1" l="1"/>
  <c r="C26" i="1"/>
  <c r="D26" i="1" s="1"/>
  <c r="A28" i="1"/>
  <c r="B27" i="1"/>
  <c r="E26" i="1" l="1"/>
  <c r="C27" i="1"/>
  <c r="D27" i="1" s="1"/>
  <c r="A29" i="1"/>
  <c r="B28" i="1"/>
  <c r="A30" i="1" l="1"/>
  <c r="B29" i="1"/>
  <c r="E27" i="1"/>
  <c r="C28" i="1"/>
  <c r="E28" i="1" s="1"/>
  <c r="C29" i="1" l="1"/>
  <c r="D29" i="1" s="1"/>
  <c r="D28" i="1"/>
  <c r="B30" i="1"/>
  <c r="A31" i="1"/>
  <c r="E29" i="1" l="1"/>
  <c r="B31" i="1"/>
  <c r="A32" i="1"/>
  <c r="C30" i="1"/>
  <c r="E30" i="1" s="1"/>
  <c r="D30" i="1" l="1"/>
  <c r="B32" i="1"/>
  <c r="A33" i="1"/>
  <c r="C31" i="1"/>
  <c r="D31" i="1" s="1"/>
  <c r="E31" i="1"/>
  <c r="B33" i="1" l="1"/>
  <c r="A34" i="1"/>
  <c r="C32" i="1"/>
  <c r="E32" i="1" s="1"/>
  <c r="D32" i="1" l="1"/>
  <c r="A35" i="1"/>
  <c r="B34" i="1"/>
  <c r="C33" i="1"/>
  <c r="E33" i="1" s="1"/>
  <c r="D33" i="1" l="1"/>
  <c r="C34" i="1"/>
  <c r="D34" i="1" s="1"/>
  <c r="A36" i="1"/>
  <c r="B35" i="1"/>
  <c r="C35" i="1" l="1"/>
  <c r="D35" i="1" s="1"/>
  <c r="A37" i="1"/>
  <c r="B36" i="1"/>
  <c r="E34" i="1"/>
  <c r="E35" i="1" l="1"/>
  <c r="C36" i="1"/>
  <c r="E36" i="1" s="1"/>
  <c r="D36" i="1"/>
  <c r="A38" i="1"/>
  <c r="B37" i="1"/>
  <c r="B38" i="1" l="1"/>
  <c r="A39" i="1"/>
  <c r="C37" i="1"/>
  <c r="D37" i="1" s="1"/>
  <c r="E37" i="1" l="1"/>
  <c r="B39" i="1"/>
  <c r="A40" i="1"/>
  <c r="C38" i="1"/>
  <c r="E38" i="1" s="1"/>
  <c r="D38" i="1"/>
  <c r="A41" i="1" l="1"/>
  <c r="B40" i="1"/>
  <c r="C39" i="1"/>
  <c r="E39" i="1" s="1"/>
  <c r="D39" i="1" l="1"/>
  <c r="C40" i="1"/>
  <c r="E40" i="1" s="1"/>
  <c r="A42" i="1"/>
  <c r="B41" i="1"/>
  <c r="C41" i="1" l="1"/>
  <c r="D41" i="1" s="1"/>
  <c r="D40" i="1"/>
  <c r="A43" i="1"/>
  <c r="B42" i="1"/>
  <c r="E41" i="1" l="1"/>
  <c r="A44" i="1"/>
  <c r="B43" i="1"/>
  <c r="C42" i="1"/>
  <c r="E42" i="1" s="1"/>
  <c r="D42" i="1" l="1"/>
  <c r="C43" i="1"/>
  <c r="E43" i="1" s="1"/>
  <c r="A45" i="1"/>
  <c r="B44" i="1"/>
  <c r="C44" i="1" l="1"/>
  <c r="E44" i="1" s="1"/>
  <c r="D43" i="1"/>
  <c r="A46" i="1"/>
  <c r="B45" i="1"/>
  <c r="C45" i="1" l="1"/>
  <c r="E45" i="1" s="1"/>
  <c r="A47" i="1"/>
  <c r="B46" i="1"/>
  <c r="D44" i="1"/>
  <c r="B47" i="1" l="1"/>
  <c r="A48" i="1"/>
  <c r="C46" i="1"/>
  <c r="E46" i="1" s="1"/>
  <c r="D45" i="1"/>
  <c r="D46" i="1" l="1"/>
  <c r="B48" i="1"/>
  <c r="A49" i="1"/>
  <c r="C47" i="1"/>
  <c r="D47" i="1" s="1"/>
  <c r="E47" i="1"/>
  <c r="B49" i="1" l="1"/>
  <c r="A50" i="1"/>
  <c r="C48" i="1"/>
  <c r="E48" i="1" s="1"/>
  <c r="D48" i="1" l="1"/>
  <c r="A51" i="1"/>
  <c r="B50" i="1"/>
  <c r="C49" i="1"/>
  <c r="D49" i="1" s="1"/>
  <c r="E49" i="1" l="1"/>
  <c r="C50" i="1"/>
  <c r="E50" i="1" s="1"/>
  <c r="A52" i="1"/>
  <c r="B51" i="1"/>
  <c r="C51" i="1" l="1"/>
  <c r="D51" i="1" s="1"/>
  <c r="A53" i="1"/>
  <c r="B52" i="1"/>
  <c r="D50" i="1"/>
  <c r="A54" i="1" l="1"/>
  <c r="B53" i="1"/>
  <c r="C52" i="1"/>
  <c r="E52" i="1" s="1"/>
  <c r="E51" i="1"/>
  <c r="D52" i="1" l="1"/>
  <c r="C53" i="1"/>
  <c r="D53" i="1" s="1"/>
  <c r="B54" i="1"/>
  <c r="A55" i="1"/>
  <c r="C54" i="1" l="1"/>
  <c r="D54" i="1" s="1"/>
  <c r="B55" i="1"/>
  <c r="A56" i="1"/>
  <c r="E53" i="1"/>
  <c r="C55" i="1" l="1"/>
  <c r="D55" i="1" s="1"/>
  <c r="A57" i="1"/>
  <c r="B56" i="1"/>
  <c r="E54" i="1"/>
  <c r="E55" i="1" l="1"/>
  <c r="C56" i="1"/>
  <c r="E56" i="1" s="1"/>
  <c r="B57" i="1"/>
  <c r="A58" i="1"/>
  <c r="A59" i="1" l="1"/>
  <c r="B58" i="1"/>
  <c r="C57" i="1"/>
  <c r="D57" i="1" s="1"/>
  <c r="D56" i="1"/>
  <c r="E57" i="1" l="1"/>
  <c r="C58" i="1"/>
  <c r="D58" i="1" s="1"/>
  <c r="A60" i="1"/>
  <c r="B59" i="1"/>
  <c r="C59" i="1" l="1"/>
  <c r="E59" i="1" s="1"/>
  <c r="E58" i="1"/>
  <c r="A61" i="1"/>
  <c r="B60" i="1"/>
  <c r="C60" i="1" l="1"/>
  <c r="E60" i="1" s="1"/>
  <c r="A62" i="1"/>
  <c r="B61" i="1"/>
  <c r="D59" i="1"/>
  <c r="B62" i="1" l="1"/>
  <c r="A63" i="1"/>
  <c r="D60" i="1"/>
  <c r="C61" i="1"/>
  <c r="E61" i="1" s="1"/>
  <c r="D61" i="1" l="1"/>
  <c r="B63" i="1"/>
  <c r="A64" i="1"/>
  <c r="C62" i="1"/>
  <c r="E62" i="1" s="1"/>
  <c r="D62" i="1" l="1"/>
  <c r="B64" i="1"/>
  <c r="A65" i="1"/>
  <c r="C63" i="1"/>
  <c r="E63" i="1" s="1"/>
  <c r="D63" i="1" l="1"/>
  <c r="A66" i="1"/>
  <c r="B65" i="1"/>
  <c r="C64" i="1"/>
  <c r="D64" i="1" s="1"/>
  <c r="C65" i="1" l="1"/>
  <c r="E65" i="1" s="1"/>
  <c r="E64" i="1"/>
  <c r="A67" i="1"/>
  <c r="B66" i="1"/>
  <c r="C66" i="1" l="1"/>
  <c r="E66" i="1" s="1"/>
  <c r="D65" i="1"/>
  <c r="A68" i="1"/>
  <c r="B67" i="1"/>
  <c r="D66" i="1" l="1"/>
  <c r="C67" i="1"/>
  <c r="E67" i="1" s="1"/>
  <c r="A69" i="1"/>
  <c r="B68" i="1"/>
  <c r="C68" i="1" l="1"/>
  <c r="E68" i="1" s="1"/>
  <c r="A70" i="1"/>
  <c r="B69" i="1"/>
  <c r="D67" i="1"/>
  <c r="C69" i="1" l="1"/>
  <c r="E69" i="1" s="1"/>
  <c r="B70" i="1"/>
  <c r="A71" i="1"/>
  <c r="D68" i="1"/>
  <c r="D69" i="1" l="1"/>
  <c r="B71" i="1"/>
  <c r="A72" i="1"/>
  <c r="C70" i="1"/>
  <c r="E70" i="1" s="1"/>
  <c r="D70" i="1" l="1"/>
  <c r="B72" i="1"/>
  <c r="A73" i="1"/>
  <c r="C71" i="1"/>
  <c r="E71" i="1" s="1"/>
  <c r="D71" i="1" l="1"/>
  <c r="C72" i="1"/>
  <c r="D72" i="1" s="1"/>
  <c r="B73" i="1"/>
  <c r="A74" i="1"/>
  <c r="E72" i="1" l="1"/>
  <c r="C73" i="1"/>
  <c r="E73" i="1" s="1"/>
  <c r="D73" i="1"/>
  <c r="A75" i="1"/>
  <c r="B74" i="1"/>
  <c r="A76" i="1" l="1"/>
  <c r="B75" i="1"/>
  <c r="C74" i="1"/>
  <c r="E74" i="1" s="1"/>
  <c r="C75" i="1" l="1"/>
  <c r="D75" i="1" s="1"/>
  <c r="D74" i="1"/>
  <c r="A77" i="1"/>
  <c r="A78" i="1" s="1"/>
  <c r="A79" i="1" s="1"/>
  <c r="B76" i="1"/>
  <c r="E75" i="1" l="1"/>
  <c r="C76" i="1"/>
  <c r="D76" i="1" s="1"/>
  <c r="E76" i="1" l="1"/>
  <c r="A3" i="1" l="1"/>
  <c r="B2" i="1"/>
  <c r="C2" i="1" s="1"/>
  <c r="E2" i="1" s="1"/>
  <c r="A4" i="1" l="1"/>
  <c r="B3" i="1"/>
  <c r="D2" i="1"/>
  <c r="C3" i="1" l="1"/>
  <c r="D3" i="1" s="1"/>
  <c r="A5" i="1"/>
  <c r="B4" i="1"/>
  <c r="A6" i="1" l="1"/>
  <c r="B5" i="1"/>
  <c r="C4" i="1"/>
  <c r="D4" i="1" s="1"/>
  <c r="E3" i="1"/>
  <c r="A7" i="1" l="1"/>
  <c r="B6" i="1"/>
  <c r="E4" i="1"/>
  <c r="C5" i="1"/>
  <c r="D5" i="1" s="1"/>
  <c r="E5" i="1" l="1"/>
  <c r="A8" i="1"/>
  <c r="B7" i="1"/>
  <c r="C6" i="1"/>
  <c r="E6" i="1" s="1"/>
  <c r="D6" i="1" l="1"/>
  <c r="C7" i="1"/>
  <c r="D7" i="1" s="1"/>
  <c r="A9" i="1"/>
  <c r="B8" i="1"/>
  <c r="E7" i="1" l="1"/>
  <c r="A10" i="1"/>
  <c r="C8" i="1"/>
  <c r="E8" i="1" s="1"/>
  <c r="D8" i="1" l="1"/>
  <c r="A11" i="1"/>
</calcChain>
</file>

<file path=xl/sharedStrings.xml><?xml version="1.0" encoding="utf-8"?>
<sst xmlns="http://schemas.openxmlformats.org/spreadsheetml/2006/main" count="10" uniqueCount="10">
  <si>
    <t xml:space="preserve">DATE </t>
  </si>
  <si>
    <t xml:space="preserve">NIFTY CLOSE </t>
  </si>
  <si>
    <t xml:space="preserve">CLOSE 10% </t>
  </si>
  <si>
    <t>UPSIDE 10%</t>
  </si>
  <si>
    <t>DOWN 10%</t>
  </si>
  <si>
    <t xml:space="preserve">MAX DOWN SIDE 10% </t>
  </si>
  <si>
    <t xml:space="preserve">MAX DOWNSIDE  T+0 </t>
  </si>
  <si>
    <t xml:space="preserve">MAX UPSIDE T+0 </t>
  </si>
  <si>
    <t>MAX UPSIDE 10%</t>
  </si>
  <si>
    <t xml:space="preserve">CHART LINKS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</si>
</sst>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LL11706\DLL%2011706\DLL11706%20PERFORMANCE%20P&amp;L.xlsx" TargetMode="External"/><Relationship Id="rId1" Type="http://schemas.openxmlformats.org/officeDocument/2006/relationships/externalLinkPath" Target="/My%20Drive/DLL11706/DLL%2011706/DLL11706%20PERFORMANCE%20P&amp;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G INTERS "/>
      <sheetName val="NIFTY VS RCG INTERS 3 X "/>
      <sheetName val="NIFTY VS RCG INTERS NET AMOUNT"/>
    </sheetNames>
    <sheetDataSet>
      <sheetData sheetId="0"/>
      <sheetData sheetId="1">
        <row r="2">
          <cell r="A2">
            <v>46146</v>
          </cell>
          <cell r="B2">
            <v>1238</v>
          </cell>
          <cell r="C2">
            <v>4.6553059643687063E-2</v>
          </cell>
          <cell r="D2">
            <v>4.6553059643687063E-2</v>
          </cell>
          <cell r="E2">
            <v>0</v>
          </cell>
          <cell r="F2">
            <v>0</v>
          </cell>
          <cell r="G2">
            <v>1.2765430058663141</v>
          </cell>
          <cell r="H2">
            <v>24381</v>
          </cell>
          <cell r="I2">
            <v>24072</v>
          </cell>
          <cell r="J2">
            <v>24206</v>
          </cell>
        </row>
        <row r="3">
          <cell r="A3">
            <v>46147</v>
          </cell>
          <cell r="B3">
            <v>23246</v>
          </cell>
          <cell r="C3">
            <v>1.7512780790085205</v>
          </cell>
          <cell r="D3">
            <v>1.7978311386522077</v>
          </cell>
          <cell r="E3">
            <v>-0.41312071387259358</v>
          </cell>
          <cell r="F3">
            <v>0.41312071387259358</v>
          </cell>
          <cell r="G3">
            <v>0.87530075499875548</v>
          </cell>
          <cell r="H3">
            <v>24148</v>
          </cell>
          <cell r="I3">
            <v>23937</v>
          </cell>
          <cell r="J3">
            <v>24106</v>
          </cell>
        </row>
        <row r="4">
          <cell r="A4">
            <v>46148</v>
          </cell>
          <cell r="B4">
            <v>-13730</v>
          </cell>
          <cell r="C4">
            <v>-1.1128582494190551</v>
          </cell>
          <cell r="D4">
            <v>0.68497288923315258</v>
          </cell>
          <cell r="E4">
            <v>1.4145855803534391</v>
          </cell>
          <cell r="F4">
            <v>0.99562092043295047</v>
          </cell>
          <cell r="G4">
            <v>1.693459320161983</v>
          </cell>
          <cell r="H4">
            <v>24470</v>
          </cell>
          <cell r="I4">
            <v>24056</v>
          </cell>
          <cell r="J4">
            <v>24447</v>
          </cell>
        </row>
        <row r="5">
          <cell r="A5">
            <v>46149</v>
          </cell>
          <cell r="B5">
            <v>45363</v>
          </cell>
          <cell r="C5">
            <v>3.4644461657629746</v>
          </cell>
          <cell r="D5">
            <v>4.1494190549961267</v>
          </cell>
          <cell r="E5">
            <v>-0.26588129422833068</v>
          </cell>
          <cell r="F5">
            <v>0.7270924564157647</v>
          </cell>
          <cell r="G5">
            <v>0.89000082027725369</v>
          </cell>
          <cell r="H5">
            <v>24535</v>
          </cell>
          <cell r="I5">
            <v>24318</v>
          </cell>
          <cell r="J5">
            <v>24382</v>
          </cell>
        </row>
        <row r="6">
          <cell r="A6">
            <v>46150</v>
          </cell>
          <cell r="B6">
            <v>17156</v>
          </cell>
          <cell r="C6">
            <v>1.2795507358636715</v>
          </cell>
          <cell r="D6">
            <v>5.4289697908597985</v>
          </cell>
          <cell r="E6">
            <v>-0.60700516774669844</v>
          </cell>
          <cell r="F6">
            <v>0.1156737998843262</v>
          </cell>
          <cell r="G6">
            <v>0.55294214739622016</v>
          </cell>
          <cell r="H6">
            <v>24294</v>
          </cell>
          <cell r="I6">
            <v>24160</v>
          </cell>
          <cell r="J6">
            <v>24234</v>
          </cell>
        </row>
        <row r="7">
          <cell r="A7">
            <v>46153</v>
          </cell>
          <cell r="B7">
            <v>-63606</v>
          </cell>
          <cell r="C7">
            <v>-4.9762199845081332</v>
          </cell>
          <cell r="D7">
            <v>0.4527498063516654</v>
          </cell>
          <cell r="E7">
            <v>-1.5102748205001237</v>
          </cell>
          <cell r="F7">
            <v>-1.3963480128893662</v>
          </cell>
          <cell r="G7">
            <v>0.80861404390816161</v>
          </cell>
          <cell r="H7">
            <v>24043</v>
          </cell>
          <cell r="I7">
            <v>23850</v>
          </cell>
          <cell r="J7">
            <v>23868</v>
          </cell>
        </row>
        <row r="8">
          <cell r="A8">
            <v>46154</v>
          </cell>
          <cell r="B8">
            <v>-214994</v>
          </cell>
          <cell r="C8">
            <v>-16.702633617350891</v>
          </cell>
          <cell r="D8">
            <v>-16.249883810999226</v>
          </cell>
          <cell r="E8">
            <v>-1.8602312719959779</v>
          </cell>
          <cell r="F8">
            <v>-3.2306039824836819</v>
          </cell>
          <cell r="G8">
            <v>1.643613387978142</v>
          </cell>
          <cell r="H8">
            <v>23778</v>
          </cell>
          <cell r="I8">
            <v>23393</v>
          </cell>
          <cell r="J8">
            <v>23424</v>
          </cell>
        </row>
        <row r="9">
          <cell r="A9">
            <v>46155</v>
          </cell>
          <cell r="B9">
            <v>33360</v>
          </cell>
          <cell r="C9">
            <v>2.5347017815646784</v>
          </cell>
          <cell r="D9">
            <v>-13.715182029434548</v>
          </cell>
          <cell r="E9">
            <v>0.16222677595628415</v>
          </cell>
          <cell r="F9">
            <v>-3.0736181112120962</v>
          </cell>
          <cell r="G9">
            <v>1.3170232716733441</v>
          </cell>
          <cell r="H9">
            <v>23629</v>
          </cell>
          <cell r="I9">
            <v>23320</v>
          </cell>
          <cell r="J9">
            <v>23462</v>
          </cell>
        </row>
        <row r="10">
          <cell r="A10">
            <v>46156</v>
          </cell>
          <cell r="B10">
            <v>52179</v>
          </cell>
          <cell r="C10">
            <v>3.9924089852827267</v>
          </cell>
          <cell r="D10">
            <v>-9.7227730441518201</v>
          </cell>
          <cell r="E10">
            <v>1.0144062739749382</v>
          </cell>
          <cell r="F10">
            <v>-2.0903908121953236</v>
          </cell>
          <cell r="G10">
            <v>1.5443037974683544</v>
          </cell>
          <cell r="H10">
            <v>23797</v>
          </cell>
          <cell r="I10">
            <v>23431</v>
          </cell>
          <cell r="J10">
            <v>23700</v>
          </cell>
        </row>
        <row r="11">
          <cell r="A11">
            <v>46157</v>
          </cell>
          <cell r="B11">
            <v>11488</v>
          </cell>
          <cell r="C11">
            <v>0.84051123160340824</v>
          </cell>
          <cell r="D11">
            <v>-8.8822618125484123</v>
          </cell>
          <cell r="E11">
            <v>-0.24050632911392406</v>
          </cell>
          <cell r="F11">
            <v>-2.325869619102702</v>
          </cell>
          <cell r="G11">
            <v>-1.6918326777481708E-2</v>
          </cell>
          <cell r="H11">
            <v>23854</v>
          </cell>
          <cell r="I11">
            <v>23858</v>
          </cell>
          <cell r="J11">
            <v>23643</v>
          </cell>
        </row>
        <row r="12">
          <cell r="A12">
            <v>46160</v>
          </cell>
          <cell r="B12">
            <v>6831</v>
          </cell>
          <cell r="C12">
            <v>0.47978311386522077</v>
          </cell>
          <cell r="D12">
            <v>-8.4024786986831916</v>
          </cell>
          <cell r="E12">
            <v>6.3443725415556401E-2</v>
          </cell>
          <cell r="F12">
            <v>-2.2639015120218127</v>
          </cell>
          <cell r="G12">
            <v>1.563952996872094</v>
          </cell>
          <cell r="H12">
            <v>23712</v>
          </cell>
          <cell r="I12">
            <v>23342</v>
          </cell>
          <cell r="J12">
            <v>23658</v>
          </cell>
        </row>
        <row r="13">
          <cell r="A13">
            <v>46161</v>
          </cell>
          <cell r="B13">
            <v>41328</v>
          </cell>
          <cell r="C13">
            <v>3.1518977536793185</v>
          </cell>
          <cell r="D13">
            <v>-5.2505809450038727</v>
          </cell>
          <cell r="E13">
            <v>-0.19443739961112519</v>
          </cell>
          <cell r="F13">
            <v>-2.4539370404032059</v>
          </cell>
          <cell r="G13">
            <v>0.85126207013383026</v>
          </cell>
          <cell r="H13">
            <v>23777</v>
          </cell>
          <cell r="I13">
            <v>23576</v>
          </cell>
          <cell r="J13">
            <v>23612</v>
          </cell>
        </row>
        <row r="14">
          <cell r="A14">
            <v>46162</v>
          </cell>
          <cell r="B14">
            <v>24067</v>
          </cell>
          <cell r="C14">
            <v>1.814872192099148</v>
          </cell>
          <cell r="D14">
            <v>-3.4357087529047252</v>
          </cell>
          <cell r="E14">
            <v>0.23716754192783329</v>
          </cell>
          <cell r="F14">
            <v>-2.2225894406345534</v>
          </cell>
          <cell r="G14">
            <v>1.3266858205171539</v>
          </cell>
          <cell r="H14">
            <v>23700</v>
          </cell>
          <cell r="I14">
            <v>23386</v>
          </cell>
          <cell r="J14">
            <v>23668</v>
          </cell>
        </row>
        <row r="15">
          <cell r="A15">
            <v>46163</v>
          </cell>
          <cell r="B15">
            <v>31770</v>
          </cell>
          <cell r="C15">
            <v>2.4115414407436098</v>
          </cell>
          <cell r="D15">
            <v>-1.0241673121611155</v>
          </cell>
          <cell r="E15">
            <v>-0.156329220888964</v>
          </cell>
          <cell r="F15">
            <v>-2.3754441047674129</v>
          </cell>
          <cell r="G15">
            <v>1.2145063687529094</v>
          </cell>
          <cell r="H15">
            <v>23837</v>
          </cell>
          <cell r="I15">
            <v>23550</v>
          </cell>
          <cell r="J15">
            <v>23631</v>
          </cell>
        </row>
        <row r="16">
          <cell r="A16">
            <v>46164</v>
          </cell>
          <cell r="B16">
            <v>35263</v>
          </cell>
          <cell r="C16">
            <v>2.6821068938807127</v>
          </cell>
          <cell r="D16">
            <v>1.6579395817195972</v>
          </cell>
          <cell r="E16">
            <v>0.47818543438703398</v>
          </cell>
          <cell r="F16">
            <v>-1.9086176980913823</v>
          </cell>
          <cell r="G16">
            <v>0.73281671159029649</v>
          </cell>
          <cell r="H16">
            <v>23849</v>
          </cell>
          <cell r="I16">
            <v>23675</v>
          </cell>
          <cell r="J16">
            <v>23744</v>
          </cell>
        </row>
        <row r="17">
          <cell r="A17">
            <v>46167</v>
          </cell>
          <cell r="B17">
            <v>609</v>
          </cell>
          <cell r="C17">
            <v>-2.1688613477924088E-3</v>
          </cell>
          <cell r="D17">
            <v>1.6557707203718048</v>
          </cell>
          <cell r="E17">
            <v>1.3434973045822103</v>
          </cell>
          <cell r="F17">
            <v>-0.59076262083780884</v>
          </cell>
          <cell r="G17">
            <v>0.86855338070897226</v>
          </cell>
          <cell r="H17">
            <v>24119</v>
          </cell>
          <cell r="I17">
            <v>23910</v>
          </cell>
          <cell r="J17">
            <v>24063</v>
          </cell>
        </row>
        <row r="18">
          <cell r="A18">
            <v>46168</v>
          </cell>
          <cell r="B18">
            <v>35563</v>
          </cell>
          <cell r="C18">
            <v>2.7053446940356314</v>
          </cell>
          <cell r="D18">
            <v>4.3611154144074362</v>
          </cell>
          <cell r="E18">
            <v>-0.62336367036529106</v>
          </cell>
          <cell r="F18">
            <v>-1.2104436916466992</v>
          </cell>
          <cell r="G18">
            <v>0.85309246016810936</v>
          </cell>
          <cell r="H18">
            <v>24089</v>
          </cell>
          <cell r="I18">
            <v>23885</v>
          </cell>
          <cell r="J18">
            <v>23913</v>
          </cell>
        </row>
        <row r="19">
          <cell r="A19">
            <v>46169</v>
          </cell>
          <cell r="B19">
            <v>16163</v>
          </cell>
          <cell r="C19">
            <v>1.2026336173508907</v>
          </cell>
          <cell r="D19">
            <v>5.5637490317583271</v>
          </cell>
          <cell r="E19">
            <v>0.34709154016643667</v>
          </cell>
          <cell r="F19">
            <v>-0.8675534991324465</v>
          </cell>
          <cell r="G19">
            <v>0.52092015335889319</v>
          </cell>
          <cell r="H19">
            <v>24045</v>
          </cell>
          <cell r="I19">
            <v>23920</v>
          </cell>
          <cell r="J19">
            <v>23996</v>
          </cell>
        </row>
        <row r="20">
          <cell r="A20">
            <v>46171</v>
          </cell>
          <cell r="B20">
            <v>25419</v>
          </cell>
          <cell r="C20">
            <v>1.9195972114639814</v>
          </cell>
          <cell r="D20">
            <v>7.4833462432223081</v>
          </cell>
          <cell r="E20">
            <v>-1.0335055842640439</v>
          </cell>
          <cell r="F20">
            <v>-1.8920928695364785</v>
          </cell>
          <cell r="G20">
            <v>1.4906518443658414</v>
          </cell>
          <cell r="H20">
            <v>24065</v>
          </cell>
          <cell r="I20">
            <v>23711</v>
          </cell>
          <cell r="J20">
            <v>23748</v>
          </cell>
        </row>
        <row r="21">
          <cell r="A21">
            <v>46174</v>
          </cell>
          <cell r="B21">
            <v>-24392</v>
          </cell>
          <cell r="C21">
            <v>-1.9387296669248644</v>
          </cell>
          <cell r="D21">
            <v>5.544616576297444</v>
          </cell>
          <cell r="E21">
            <v>-1.2043119420582786</v>
          </cell>
          <cell r="F21">
            <v>-3.0736181112120962</v>
          </cell>
          <cell r="G21">
            <v>1.4619384536697639</v>
          </cell>
          <cell r="H21">
            <v>23779</v>
          </cell>
          <cell r="I21">
            <v>23436</v>
          </cell>
          <cell r="J21">
            <v>23462</v>
          </cell>
        </row>
        <row r="22">
          <cell r="A22">
            <v>46175</v>
          </cell>
          <cell r="B22">
            <v>52803</v>
          </cell>
          <cell r="C22">
            <v>4.0407436096049576</v>
          </cell>
          <cell r="D22">
            <v>9.5853601859024007</v>
          </cell>
          <cell r="E22">
            <v>0.600971784161623</v>
          </cell>
          <cell r="F22">
            <v>-2.4911179046517393</v>
          </cell>
          <cell r="G22">
            <v>1.5421768419268738</v>
          </cell>
          <cell r="H22">
            <v>23650</v>
          </cell>
          <cell r="I22">
            <v>23286</v>
          </cell>
          <cell r="J22">
            <v>23603</v>
          </cell>
        </row>
        <row r="23">
          <cell r="A23">
            <v>46176</v>
          </cell>
          <cell r="B23">
            <v>16344</v>
          </cell>
          <cell r="C23">
            <v>1.2166537567776916</v>
          </cell>
          <cell r="D23">
            <v>10.802013942680093</v>
          </cell>
          <cell r="E23">
            <v>-0.37283396178451894</v>
          </cell>
          <cell r="F23">
            <v>-2.8546641328596216</v>
          </cell>
          <cell r="G23">
            <v>1.5649585371039763</v>
          </cell>
          <cell r="H23">
            <v>23580</v>
          </cell>
          <cell r="I23">
            <v>23212</v>
          </cell>
          <cell r="J23">
            <v>23515</v>
          </cell>
        </row>
        <row r="24">
          <cell r="A24">
            <v>46177</v>
          </cell>
          <cell r="B24">
            <v>23424</v>
          </cell>
          <cell r="C24">
            <v>1.7650658404337722</v>
          </cell>
          <cell r="D24">
            <v>12.567079783113865</v>
          </cell>
          <cell r="E24">
            <v>-1.7010418881564959E-2</v>
          </cell>
          <cell r="F24">
            <v>-2.8711889614145254</v>
          </cell>
          <cell r="G24">
            <v>0.92297222576666238</v>
          </cell>
          <cell r="H24">
            <v>23543</v>
          </cell>
          <cell r="I24">
            <v>23326</v>
          </cell>
          <cell r="J24">
            <v>23511</v>
          </cell>
        </row>
        <row r="25">
          <cell r="A25">
            <v>46178</v>
          </cell>
          <cell r="B25">
            <v>-2660</v>
          </cell>
          <cell r="C25">
            <v>-0.25538342370255618</v>
          </cell>
          <cell r="D25">
            <v>12.311696359411309</v>
          </cell>
          <cell r="E25">
            <v>-0.2551996937603675</v>
          </cell>
          <cell r="F25">
            <v>-3.1190613897380817</v>
          </cell>
          <cell r="G25">
            <v>0.5927252569186815</v>
          </cell>
          <cell r="H25">
            <v>23590</v>
          </cell>
          <cell r="I25">
            <v>23451</v>
          </cell>
          <cell r="J25">
            <v>23451</v>
          </cell>
        </row>
        <row r="26">
          <cell r="A26">
            <v>46181</v>
          </cell>
          <cell r="B26">
            <v>-56253</v>
          </cell>
          <cell r="C26">
            <v>-4.4066615027110769</v>
          </cell>
          <cell r="D26">
            <v>7.9050348567002322</v>
          </cell>
          <cell r="E26">
            <v>-1.1811863033559336</v>
          </cell>
          <cell r="F26">
            <v>-4.2634057671651657</v>
          </cell>
          <cell r="G26">
            <v>0.91050315008198845</v>
          </cell>
          <cell r="H26">
            <v>23353</v>
          </cell>
          <cell r="I26">
            <v>23142</v>
          </cell>
          <cell r="J26">
            <v>23174</v>
          </cell>
        </row>
        <row r="27">
          <cell r="A27">
            <v>46182</v>
          </cell>
          <cell r="B27">
            <v>59594</v>
          </cell>
          <cell r="C27">
            <v>4.5667699457784661</v>
          </cell>
          <cell r="D27">
            <v>12.471804802478699</v>
          </cell>
          <cell r="E27">
            <v>0.67748338655389662</v>
          </cell>
          <cell r="F27">
            <v>-3.6148062463851938</v>
          </cell>
          <cell r="G27">
            <v>0.87437315160087437</v>
          </cell>
          <cell r="H27">
            <v>23349</v>
          </cell>
          <cell r="I27">
            <v>23145</v>
          </cell>
          <cell r="J27">
            <v>23331</v>
          </cell>
        </row>
        <row r="28">
          <cell r="A28">
            <v>46183</v>
          </cell>
          <cell r="B28">
            <v>3548</v>
          </cell>
          <cell r="C28">
            <v>0.2254841208365608</v>
          </cell>
          <cell r="D28">
            <v>12.697288923315259</v>
          </cell>
          <cell r="E28">
            <v>-0.39003900390039004</v>
          </cell>
          <cell r="F28">
            <v>-3.990746096009254</v>
          </cell>
          <cell r="G28">
            <v>1.0111876075731498</v>
          </cell>
          <cell r="H28">
            <v>23456</v>
          </cell>
          <cell r="I28">
            <v>23221</v>
          </cell>
          <cell r="J28">
            <v>23240</v>
          </cell>
        </row>
        <row r="29">
          <cell r="A29">
            <v>46184</v>
          </cell>
          <cell r="B29">
            <v>3017</v>
          </cell>
          <cell r="C29">
            <v>0.18435321456235476</v>
          </cell>
          <cell r="D29">
            <v>12.881642137877614</v>
          </cell>
          <cell r="E29">
            <v>-0.1721170395869191</v>
          </cell>
          <cell r="F29">
            <v>-4.1559943815582914</v>
          </cell>
          <cell r="G29">
            <v>1.1120689655172413</v>
          </cell>
          <cell r="H29">
            <v>23363</v>
          </cell>
          <cell r="I29">
            <v>23105</v>
          </cell>
          <cell r="J29">
            <v>23200</v>
          </cell>
        </row>
        <row r="30">
          <cell r="A30">
            <v>46185</v>
          </cell>
          <cell r="B30">
            <v>84479</v>
          </cell>
          <cell r="C30">
            <v>6.4943454686289694</v>
          </cell>
          <cell r="D30">
            <v>19.375987606506584</v>
          </cell>
          <cell r="E30">
            <v>2.0948275862068964</v>
          </cell>
          <cell r="F30">
            <v>-2.1482277121374866</v>
          </cell>
          <cell r="G30">
            <v>1.6212108418475049</v>
          </cell>
          <cell r="H30">
            <v>23719</v>
          </cell>
          <cell r="I30">
            <v>23335</v>
          </cell>
          <cell r="J30">
            <v>23686</v>
          </cell>
        </row>
        <row r="31">
          <cell r="A31">
            <v>46188</v>
          </cell>
          <cell r="B31">
            <v>-15418</v>
          </cell>
          <cell r="C31">
            <v>-0.89917581617497155</v>
          </cell>
          <cell r="D31">
            <v>13.110381042203857</v>
          </cell>
          <cell r="E31">
            <v>0.97103774381491181</v>
          </cell>
          <cell r="F31">
            <v>-1.1980500702305215</v>
          </cell>
          <cell r="G31">
            <v>0.61883258069911351</v>
          </cell>
          <cell r="H31">
            <v>24029</v>
          </cell>
          <cell r="I31">
            <v>23881</v>
          </cell>
          <cell r="J31">
            <v>23916</v>
          </cell>
        </row>
        <row r="32">
          <cell r="A32">
            <v>46189</v>
          </cell>
          <cell r="B32">
            <v>-18393</v>
          </cell>
          <cell r="C32">
            <v>-1.0657935709629218</v>
          </cell>
          <cell r="D32">
            <v>12.044587471240936</v>
          </cell>
          <cell r="E32">
            <v>0.35541060377989631</v>
          </cell>
          <cell r="F32">
            <v>-0.84689746343881678</v>
          </cell>
          <cell r="G32">
            <v>0.40831632015332692</v>
          </cell>
          <cell r="H32">
            <v>24018</v>
          </cell>
          <cell r="I32">
            <v>23920</v>
          </cell>
          <cell r="J32">
            <v>24001</v>
          </cell>
        </row>
        <row r="33">
          <cell r="A33">
            <v>46190</v>
          </cell>
          <cell r="B33">
            <v>-25616</v>
          </cell>
          <cell r="C33">
            <v>-1.4703246777976662</v>
          </cell>
          <cell r="D33">
            <v>10.574262793443269</v>
          </cell>
          <cell r="E33">
            <v>0.38748385483938169</v>
          </cell>
          <cell r="F33">
            <v>-0.46269519953730481</v>
          </cell>
          <cell r="G33">
            <v>0.48559807420934675</v>
          </cell>
          <cell r="H33">
            <v>24108</v>
          </cell>
          <cell r="I33">
            <v>23991</v>
          </cell>
          <cell r="J33">
            <v>24094</v>
          </cell>
        </row>
        <row r="34">
          <cell r="A34">
            <v>46191</v>
          </cell>
          <cell r="B34">
            <v>-17396</v>
          </cell>
          <cell r="C34">
            <v>-1.0099556208709599</v>
          </cell>
          <cell r="D34">
            <v>9.5643071725723097</v>
          </cell>
          <cell r="E34">
            <v>0.40674026728646134</v>
          </cell>
          <cell r="F34">
            <v>-5.7836899942163102E-2</v>
          </cell>
          <cell r="G34">
            <v>0.73578042328042326</v>
          </cell>
          <cell r="H34">
            <v>24210</v>
          </cell>
          <cell r="I34">
            <v>24032</v>
          </cell>
          <cell r="J34">
            <v>24192</v>
          </cell>
        </row>
        <row r="35">
          <cell r="A35">
            <v>46192</v>
          </cell>
          <cell r="B35">
            <v>42419</v>
          </cell>
          <cell r="C35">
            <v>2.3400413548067682</v>
          </cell>
          <cell r="D35">
            <v>11.904348527379078</v>
          </cell>
          <cell r="E35">
            <v>-0.56216931216931221</v>
          </cell>
          <cell r="F35">
            <v>-0.61968107080889034</v>
          </cell>
          <cell r="G35">
            <v>0.56950448952444299</v>
          </cell>
          <cell r="H35">
            <v>24085</v>
          </cell>
          <cell r="I35">
            <v>23948</v>
          </cell>
          <cell r="J35">
            <v>24056</v>
          </cell>
        </row>
        <row r="36">
          <cell r="A36">
            <v>46195</v>
          </cell>
          <cell r="B36">
            <v>-12430</v>
          </cell>
          <cell r="C36">
            <v>-0.73182998380307407</v>
          </cell>
          <cell r="D36">
            <v>11.172518543576004</v>
          </cell>
          <cell r="E36">
            <v>0.27851679414699038</v>
          </cell>
          <cell r="F36">
            <v>-0.34289019251425268</v>
          </cell>
          <cell r="G36">
            <v>0.31505202503834517</v>
          </cell>
          <cell r="H36">
            <v>24178</v>
          </cell>
          <cell r="I36">
            <v>24102</v>
          </cell>
          <cell r="J36">
            <v>24123</v>
          </cell>
        </row>
        <row r="37">
          <cell r="A37">
            <v>46196</v>
          </cell>
          <cell r="B37">
            <v>63913</v>
          </cell>
          <cell r="C37">
            <v>3.5438336309117098</v>
          </cell>
          <cell r="D37">
            <v>14.716352174487714</v>
          </cell>
          <cell r="E37">
            <v>-1.1234091945446254</v>
          </cell>
          <cell r="F37">
            <v>-1.4624473271089813</v>
          </cell>
          <cell r="G37">
            <v>1.4464195874559784</v>
          </cell>
          <cell r="H37">
            <v>24155</v>
          </cell>
          <cell r="I37">
            <v>23810</v>
          </cell>
          <cell r="J37">
            <v>23852</v>
          </cell>
        </row>
        <row r="38">
          <cell r="A38">
            <v>46197</v>
          </cell>
          <cell r="B38">
            <v>-27606</v>
          </cell>
          <cell r="C38">
            <v>-1.5817765541096058</v>
          </cell>
          <cell r="D38">
            <v>13.134575620378108</v>
          </cell>
          <cell r="E38">
            <v>0.83431158812678186</v>
          </cell>
          <cell r="F38">
            <v>-0.64033710650252007</v>
          </cell>
          <cell r="G38">
            <v>1.2972433578645379</v>
          </cell>
          <cell r="H38">
            <v>24117</v>
          </cell>
          <cell r="I38">
            <v>23805</v>
          </cell>
          <cell r="J38">
            <v>24051</v>
          </cell>
        </row>
        <row r="39">
          <cell r="A39">
            <v>46198</v>
          </cell>
          <cell r="B39">
            <v>-26861</v>
          </cell>
          <cell r="C39">
            <v>-1.5400521079526235</v>
          </cell>
          <cell r="D39">
            <v>11.594523512425484</v>
          </cell>
          <cell r="E39">
            <v>0.21204939503554945</v>
          </cell>
          <cell r="F39">
            <v>-0.42964554242749731</v>
          </cell>
          <cell r="G39">
            <v>0.8256576217741266</v>
          </cell>
          <cell r="H39">
            <v>24279</v>
          </cell>
          <cell r="I39">
            <v>24080</v>
          </cell>
          <cell r="J39">
            <v>24102</v>
          </cell>
        </row>
        <row r="40">
          <cell r="A40">
            <v>46202</v>
          </cell>
          <cell r="B40">
            <v>24343</v>
          </cell>
          <cell r="C40">
            <v>1.3276774773119824</v>
          </cell>
          <cell r="D40">
            <v>12.922200989737467</v>
          </cell>
          <cell r="E40">
            <v>-0.53937432578209277</v>
          </cell>
          <cell r="F40">
            <v>-0.96670247046186897</v>
          </cell>
          <cell r="G40">
            <v>0.86767895878524948</v>
          </cell>
          <cell r="H40">
            <v>24139</v>
          </cell>
          <cell r="I40">
            <v>23931</v>
          </cell>
          <cell r="J40">
            <v>23972</v>
          </cell>
        </row>
        <row r="41">
          <cell r="A41">
            <v>46203</v>
          </cell>
          <cell r="B41">
            <v>-2524</v>
          </cell>
          <cell r="C41">
            <v>-0.17703486483519684</v>
          </cell>
          <cell r="D41">
            <v>12.745166124902269</v>
          </cell>
          <cell r="E41">
            <v>-0.44635407975971969</v>
          </cell>
          <cell r="F41">
            <v>-1.4087416343055441</v>
          </cell>
          <cell r="G41">
            <v>0.78776450869474124</v>
          </cell>
          <cell r="H41">
            <v>24026</v>
          </cell>
          <cell r="I41">
            <v>23838</v>
          </cell>
          <cell r="J41">
            <v>23865</v>
          </cell>
        </row>
        <row r="42">
          <cell r="A42">
            <v>46204</v>
          </cell>
          <cell r="B42">
            <v>18002</v>
          </cell>
          <cell r="C42">
            <v>0.97254363424966561</v>
          </cell>
          <cell r="D42">
            <v>13.717709759151935</v>
          </cell>
          <cell r="E42">
            <v>0.9511837418814163</v>
          </cell>
          <cell r="F42">
            <v>-0.47095761381475665</v>
          </cell>
          <cell r="G42">
            <v>0.65997011456085009</v>
          </cell>
          <cell r="H42">
            <v>24142</v>
          </cell>
          <cell r="I42">
            <v>23983</v>
          </cell>
          <cell r="J42">
            <v>24092</v>
          </cell>
        </row>
        <row r="43">
          <cell r="A43">
            <v>46205</v>
          </cell>
          <cell r="B43">
            <v>21354</v>
          </cell>
          <cell r="C43">
            <v>1.160275638972089</v>
          </cell>
          <cell r="D43">
            <v>14.877985398124023</v>
          </cell>
          <cell r="E43">
            <v>0.71808069068570479</v>
          </cell>
          <cell r="F43">
            <v>0.24374122118483021</v>
          </cell>
          <cell r="G43">
            <v>0.57696270348238199</v>
          </cell>
          <cell r="H43">
            <v>24282</v>
          </cell>
          <cell r="I43">
            <v>24142</v>
          </cell>
          <cell r="J43">
            <v>24265</v>
          </cell>
        </row>
        <row r="44">
          <cell r="A44">
            <v>46206</v>
          </cell>
          <cell r="B44">
            <v>4361</v>
          </cell>
          <cell r="C44">
            <v>0.2085662248169165</v>
          </cell>
          <cell r="D44">
            <v>15.08655162294094</v>
          </cell>
          <cell r="E44">
            <v>0.35854110859262311</v>
          </cell>
          <cell r="F44">
            <v>0.60315624225398656</v>
          </cell>
          <cell r="G44">
            <v>0.50509198423127466</v>
          </cell>
          <cell r="H44">
            <v>24448</v>
          </cell>
          <cell r="I44">
            <v>24325</v>
          </cell>
          <cell r="J44">
            <v>24352</v>
          </cell>
        </row>
        <row r="45">
          <cell r="A45">
            <v>46209</v>
          </cell>
          <cell r="B45">
            <v>-3763</v>
          </cell>
          <cell r="C45">
            <v>-0.24642625918217845</v>
          </cell>
          <cell r="D45">
            <v>14.840125363758762</v>
          </cell>
          <cell r="E45">
            <v>0.53383705650459923</v>
          </cell>
          <cell r="F45">
            <v>1.1402131702883582</v>
          </cell>
          <cell r="G45">
            <v>0.75565721754758597</v>
          </cell>
          <cell r="H45">
            <v>24515</v>
          </cell>
          <cell r="I45">
            <v>24330</v>
          </cell>
          <cell r="J45">
            <v>24482</v>
          </cell>
        </row>
        <row r="46">
          <cell r="A46">
            <v>46210</v>
          </cell>
          <cell r="B46">
            <v>332</v>
          </cell>
          <cell r="C46">
            <v>-1.7342512924436681E-2</v>
          </cell>
          <cell r="D46">
            <v>15.049264108845023</v>
          </cell>
          <cell r="E46">
            <v>-0.17155461155134386</v>
          </cell>
          <cell r="F46">
            <v>0.96670247046186897</v>
          </cell>
          <cell r="G46">
            <v>0.65466448445171854</v>
          </cell>
          <cell r="H46">
            <v>24565</v>
          </cell>
          <cell r="I46">
            <v>24405</v>
          </cell>
          <cell r="J46">
            <v>24440</v>
          </cell>
        </row>
        <row r="47">
          <cell r="A47">
            <v>46211</v>
          </cell>
          <cell r="B47">
            <v>-96272</v>
          </cell>
          <cell r="C47">
            <v>-5.5103133934237194</v>
          </cell>
          <cell r="D47">
            <v>9.5389507154213042</v>
          </cell>
          <cell r="E47">
            <v>-2.1603927986906712</v>
          </cell>
          <cell r="F47">
            <v>-1.214574898785425</v>
          </cell>
          <cell r="G47">
            <v>1.6267982602877216</v>
          </cell>
          <cell r="H47">
            <v>24330</v>
          </cell>
          <cell r="I47">
            <v>23941</v>
          </cell>
          <cell r="J47">
            <v>23912</v>
          </cell>
        </row>
        <row r="48">
          <cell r="A48">
            <v>46212</v>
          </cell>
          <cell r="B48">
            <v>48408</v>
          </cell>
          <cell r="C48">
            <v>4.5122960847578302</v>
          </cell>
          <cell r="D48">
            <v>20.358369878041906</v>
          </cell>
          <cell r="E48">
            <v>0.36383405821344933</v>
          </cell>
          <cell r="F48">
            <v>-0.85515987771626867</v>
          </cell>
          <cell r="G48">
            <v>0.91670486270261264</v>
          </cell>
          <cell r="H48">
            <v>24180</v>
          </cell>
          <cell r="I48">
            <v>23960</v>
          </cell>
          <cell r="J48">
            <v>23999</v>
          </cell>
        </row>
        <row r="49">
          <cell r="A49">
            <v>46213</v>
          </cell>
          <cell r="B49">
            <v>35944</v>
          </cell>
          <cell r="C49">
            <v>3.3349864533826947</v>
          </cell>
          <cell r="D49">
            <v>23.693356331424603</v>
          </cell>
          <cell r="E49">
            <v>1.008375348972874</v>
          </cell>
          <cell r="F49">
            <v>0.14459224985540775</v>
          </cell>
          <cell r="G49">
            <v>0.53628150653850915</v>
          </cell>
          <cell r="H49">
            <v>24270</v>
          </cell>
          <cell r="I49">
            <v>24140</v>
          </cell>
          <cell r="J49">
            <v>24241</v>
          </cell>
        </row>
        <row r="50">
          <cell r="A50">
            <v>46216</v>
          </cell>
          <cell r="B50">
            <v>12724</v>
          </cell>
          <cell r="C50">
            <v>0.98241379337250834</v>
          </cell>
          <cell r="D50">
            <v>21.37016187825488</v>
          </cell>
          <cell r="E50">
            <v>4.1252423579885315E-3</v>
          </cell>
          <cell r="F50">
            <v>0.1487234569941337</v>
          </cell>
          <cell r="G50">
            <v>1.0848939856447488</v>
          </cell>
          <cell r="H50">
            <v>24293</v>
          </cell>
          <cell r="I50">
            <v>24030</v>
          </cell>
          <cell r="J50">
            <v>24242</v>
          </cell>
        </row>
        <row r="51">
          <cell r="A51">
            <v>46217</v>
          </cell>
          <cell r="B51">
            <v>8105</v>
          </cell>
          <cell r="C51">
            <v>0.60698818639082419</v>
          </cell>
          <cell r="D51">
            <v>21.977150064645706</v>
          </cell>
          <cell r="E51">
            <v>-0.89844072271264452</v>
          </cell>
          <cell r="F51">
            <v>-0.75105345782037214</v>
          </cell>
          <cell r="G51">
            <v>0.62811664904555176</v>
          </cell>
          <cell r="H51">
            <v>24159.9</v>
          </cell>
          <cell r="I51">
            <v>24009</v>
          </cell>
          <cell r="J51">
            <v>24024.2</v>
          </cell>
        </row>
        <row r="52">
          <cell r="A52">
            <v>46218</v>
          </cell>
          <cell r="B52">
            <v>19382</v>
          </cell>
          <cell r="C52">
            <v>1.523566356975897</v>
          </cell>
          <cell r="D52">
            <v>23.500716421621604</v>
          </cell>
          <cell r="E52">
            <v>0.17815369502418091</v>
          </cell>
          <cell r="F52">
            <v>-0.57423779228290506</v>
          </cell>
          <cell r="G52">
            <v>0.97644076951842773</v>
          </cell>
          <cell r="H52">
            <v>24228</v>
          </cell>
          <cell r="I52">
            <v>23993</v>
          </cell>
          <cell r="J52">
            <v>24067</v>
          </cell>
        </row>
        <row r="53">
          <cell r="A53">
            <v>46219</v>
          </cell>
          <cell r="B53">
            <v>10488</v>
          </cell>
          <cell r="C53">
            <v>0.8006749630605261</v>
          </cell>
          <cell r="D53">
            <v>24.30139138468213</v>
          </cell>
          <cell r="E53">
            <v>0.12049694602567831</v>
          </cell>
          <cell r="F53">
            <v>-0.45443278525985292</v>
          </cell>
          <cell r="G53">
            <v>0.68476095617529875</v>
          </cell>
          <cell r="H53">
            <v>24220</v>
          </cell>
          <cell r="I53">
            <v>24055</v>
          </cell>
          <cell r="J53">
            <v>24096</v>
          </cell>
        </row>
        <row r="54">
          <cell r="A54">
            <v>46220</v>
          </cell>
          <cell r="B54">
            <v>-34751</v>
          </cell>
          <cell r="C54">
            <v>-2.8762852088910669</v>
          </cell>
          <cell r="D54">
            <v>21.425106175791061</v>
          </cell>
          <cell r="E54">
            <v>0.93666998671979051</v>
          </cell>
          <cell r="F54">
            <v>0.47798066595059374</v>
          </cell>
          <cell r="G54">
            <v>1.157813804133766</v>
          </cell>
          <cell r="H54">
            <v>24364.9</v>
          </cell>
          <cell r="I54">
            <v>24083.3</v>
          </cell>
          <cell r="J54">
            <v>24321.7</v>
          </cell>
        </row>
        <row r="55">
          <cell r="A55">
            <v>46223</v>
          </cell>
          <cell r="B55">
            <v>23632</v>
          </cell>
          <cell r="C55">
            <v>1.8690001802433052</v>
          </cell>
          <cell r="D55">
            <v>23.294106356034366</v>
          </cell>
          <cell r="E55">
            <v>-0.25779447982665982</v>
          </cell>
          <cell r="F55">
            <v>0.2189539783524746</v>
          </cell>
          <cell r="G55">
            <v>0.69664866647429824</v>
          </cell>
          <cell r="H55">
            <v>24290</v>
          </cell>
          <cell r="I55">
            <v>24121</v>
          </cell>
          <cell r="J55">
            <v>24259</v>
          </cell>
        </row>
        <row r="56">
          <cell r="A56">
            <v>46224</v>
          </cell>
          <cell r="B56">
            <v>22327</v>
          </cell>
          <cell r="C56">
            <v>1.7629316768635481</v>
          </cell>
          <cell r="D56">
            <v>25.057038032897914</v>
          </cell>
          <cell r="E56">
            <v>-0.32565233521579617</v>
          </cell>
          <cell r="F56">
            <v>-0.10741138560687433</v>
          </cell>
          <cell r="G56">
            <v>0.59553349875930517</v>
          </cell>
          <cell r="H56">
            <v>24279</v>
          </cell>
          <cell r="I56">
            <v>24135</v>
          </cell>
          <cell r="J56">
            <v>24180</v>
          </cell>
        </row>
        <row r="57">
          <cell r="A57">
            <v>46225</v>
          </cell>
          <cell r="B57">
            <v>-7788</v>
          </cell>
          <cell r="C57">
            <v>-0.68477175553597935</v>
          </cell>
          <cell r="D57">
            <v>24.372266277361934</v>
          </cell>
          <cell r="E57">
            <v>-0.90570719602977667</v>
          </cell>
          <cell r="F57">
            <v>-1.0121457489878543</v>
          </cell>
          <cell r="G57">
            <v>1.1226576520178624</v>
          </cell>
          <cell r="H57">
            <v>24131</v>
          </cell>
          <cell r="I57">
            <v>23862</v>
          </cell>
          <cell r="J57">
            <v>23961</v>
          </cell>
        </row>
        <row r="58">
          <cell r="A58">
            <v>46226</v>
          </cell>
          <cell r="B58">
            <v>-15677</v>
          </cell>
          <cell r="C58">
            <v>-1.3259782100669397</v>
          </cell>
          <cell r="D58">
            <v>23.046288067294995</v>
          </cell>
          <cell r="E58">
            <v>-0.36726346980509994</v>
          </cell>
          <cell r="F58">
            <v>-1.3756919771957365</v>
          </cell>
          <cell r="G58">
            <v>0.78750052360407152</v>
          </cell>
          <cell r="H58">
            <v>23996</v>
          </cell>
          <cell r="I58">
            <v>23808</v>
          </cell>
          <cell r="J58">
            <v>23873</v>
          </cell>
        </row>
        <row r="59">
          <cell r="A59">
            <v>46227</v>
          </cell>
          <cell r="B59">
            <v>-5334</v>
          </cell>
          <cell r="C59">
            <v>-0.48531420205404546</v>
          </cell>
          <cell r="D59">
            <v>22.56097386524095</v>
          </cell>
          <cell r="E59">
            <v>-0.28065178234825955</v>
          </cell>
          <cell r="F59">
            <v>-1.6524828554903743</v>
          </cell>
          <cell r="G59">
            <v>0.89893304209022939</v>
          </cell>
          <cell r="H59">
            <v>23854</v>
          </cell>
          <cell r="I59">
            <v>23640</v>
          </cell>
          <cell r="J59">
            <v>23806</v>
          </cell>
        </row>
        <row r="60">
          <cell r="A60">
            <v>46230</v>
          </cell>
          <cell r="B60">
            <v>20914</v>
          </cell>
          <cell r="C60">
            <v>1.6480850904454662</v>
          </cell>
          <cell r="D60">
            <v>24.209058955686416</v>
          </cell>
          <cell r="E60">
            <v>0.98294547593043768</v>
          </cell>
          <cell r="F60">
            <v>-0.68578038502850536</v>
          </cell>
          <cell r="G60">
            <v>0.59484193011647257</v>
          </cell>
          <cell r="H60">
            <v>24045</v>
          </cell>
          <cell r="I60">
            <v>23902</v>
          </cell>
          <cell r="J60">
            <v>24040</v>
          </cell>
        </row>
        <row r="61">
          <cell r="A61">
            <v>46231</v>
          </cell>
          <cell r="B61">
            <v>5979</v>
          </cell>
          <cell r="C61">
            <v>0.43484031087875058</v>
          </cell>
          <cell r="D61">
            <v>24.680158752692396</v>
          </cell>
          <cell r="E61">
            <v>-0.22878535773710482</v>
          </cell>
          <cell r="F61">
            <v>-0.91299677765843179</v>
          </cell>
          <cell r="G61">
            <v>0.38774233896185117</v>
          </cell>
          <cell r="H61">
            <v>24040</v>
          </cell>
          <cell r="I61">
            <v>23947</v>
          </cell>
          <cell r="J61">
            <v>23985</v>
          </cell>
        </row>
        <row r="62">
          <cell r="A62">
            <v>46232</v>
          </cell>
          <cell r="B62">
            <v>-22500</v>
          </cell>
          <cell r="C62">
            <v>-1.8833583438415673</v>
          </cell>
          <cell r="D62">
            <v>22.796800408850828</v>
          </cell>
          <cell r="E62">
            <v>1.3591828225974567</v>
          </cell>
          <cell r="F62">
            <v>0.43377674956622325</v>
          </cell>
          <cell r="G62">
            <v>0.5100571757640574</v>
          </cell>
          <cell r="H62">
            <v>24346</v>
          </cell>
          <cell r="I62">
            <v>24222</v>
          </cell>
          <cell r="J62">
            <v>24311</v>
          </cell>
        </row>
        <row r="63">
          <cell r="A63">
            <v>46233</v>
          </cell>
          <cell r="B63">
            <v>-16314</v>
          </cell>
          <cell r="C63">
            <v>-1.379816194254156</v>
          </cell>
          <cell r="D63">
            <v>21.416984214596674</v>
          </cell>
          <cell r="E63">
            <v>0.19332812307186048</v>
          </cell>
          <cell r="F63">
            <v>0.62794348508634223</v>
          </cell>
          <cell r="G63">
            <v>0.60349782412349129</v>
          </cell>
          <cell r="H63">
            <v>24397</v>
          </cell>
          <cell r="I63">
            <v>24250</v>
          </cell>
          <cell r="J63">
            <v>24358</v>
          </cell>
        </row>
        <row r="64">
          <cell r="A64">
            <v>46234</v>
          </cell>
          <cell r="B64">
            <v>-4842</v>
          </cell>
          <cell r="C64">
            <v>-0.44599214962648343</v>
          </cell>
          <cell r="D64">
            <v>20.97099206497019</v>
          </cell>
          <cell r="E64">
            <v>0.3859101732490352</v>
          </cell>
          <cell r="F64">
            <v>1.0162769561265801</v>
          </cell>
          <cell r="G64">
            <v>0.49075740225748404</v>
          </cell>
          <cell r="H64">
            <v>24490</v>
          </cell>
          <cell r="I64">
            <v>24370</v>
          </cell>
          <cell r="J64">
            <v>24452</v>
          </cell>
        </row>
        <row r="65">
          <cell r="A65">
            <v>46237</v>
          </cell>
          <cell r="B65">
            <v>-45212</v>
          </cell>
          <cell r="C65">
            <v>-3.7321215674803137</v>
          </cell>
          <cell r="D65">
            <v>17.238870497489877</v>
          </cell>
          <cell r="E65">
            <v>0.80566006870603635</v>
          </cell>
          <cell r="F65">
            <v>1.8301247624555894</v>
          </cell>
          <cell r="G65">
            <v>0.44220860886851393</v>
          </cell>
          <cell r="H65">
            <v>24689</v>
          </cell>
          <cell r="I65">
            <v>24580</v>
          </cell>
          <cell r="J65">
            <v>24649</v>
          </cell>
        </row>
        <row r="66">
          <cell r="A66">
            <v>46238</v>
          </cell>
          <cell r="B66">
            <v>45639</v>
          </cell>
          <cell r="C66">
            <v>3.6631755279231624</v>
          </cell>
          <cell r="D66">
            <v>20.902046025413039</v>
          </cell>
          <cell r="E66">
            <v>-0.39352509229583349</v>
          </cell>
          <cell r="F66">
            <v>1.4293976699991737</v>
          </cell>
          <cell r="G66">
            <v>0.80237862495927015</v>
          </cell>
          <cell r="H66">
            <v>24697</v>
          </cell>
          <cell r="I66">
            <v>24500</v>
          </cell>
          <cell r="J66">
            <v>24552</v>
          </cell>
        </row>
        <row r="67">
          <cell r="A67">
            <v>46239</v>
          </cell>
          <cell r="B67">
            <v>-5390</v>
          </cell>
          <cell r="C67">
            <v>-0.49059950461741481</v>
          </cell>
          <cell r="D67">
            <v>20.411446520795625</v>
          </cell>
          <cell r="E67">
            <v>0.38693385467579017</v>
          </cell>
          <cell r="F67">
            <v>1.8218623481781377</v>
          </cell>
          <cell r="G67">
            <v>0.71002556092019309</v>
          </cell>
          <cell r="H67">
            <v>24740</v>
          </cell>
          <cell r="I67">
            <v>24565</v>
          </cell>
          <cell r="J67">
            <v>24647</v>
          </cell>
        </row>
        <row r="68">
          <cell r="A68">
            <v>46240</v>
          </cell>
          <cell r="B68">
            <v>-23918</v>
          </cell>
          <cell r="C68">
            <v>-1.9469319647319274</v>
          </cell>
          <cell r="D68">
            <v>18.464514556063698</v>
          </cell>
          <cell r="E68">
            <v>0.37327058059804441</v>
          </cell>
          <cell r="F68">
            <v>2.2019334049409238</v>
          </cell>
          <cell r="G68">
            <v>0.34762924936335343</v>
          </cell>
          <cell r="H68">
            <v>24758</v>
          </cell>
          <cell r="I68">
            <v>24672</v>
          </cell>
          <cell r="J68">
            <v>24739</v>
          </cell>
        </row>
        <row r="69">
          <cell r="A69">
            <v>46241</v>
          </cell>
          <cell r="B69">
            <v>72239</v>
          </cell>
          <cell r="C69">
            <v>5.8802750313684129</v>
          </cell>
          <cell r="D69">
            <v>24.344789587432111</v>
          </cell>
          <cell r="E69">
            <v>-0.33954484821536846</v>
          </cell>
          <cell r="F69">
            <v>1.8549120052879451</v>
          </cell>
          <cell r="G69">
            <v>0.42993307645508011</v>
          </cell>
          <cell r="H69">
            <v>24707</v>
          </cell>
          <cell r="I69">
            <v>24601</v>
          </cell>
          <cell r="J69">
            <v>24655</v>
          </cell>
        </row>
        <row r="70">
          <cell r="A70">
            <v>46244</v>
          </cell>
          <cell r="B70">
            <v>11553</v>
          </cell>
          <cell r="C70">
            <v>0.94041746753691602</v>
          </cell>
          <cell r="D70">
            <v>25.285207054969025</v>
          </cell>
          <cell r="E70">
            <v>1.6223889677550191E-2</v>
          </cell>
          <cell r="F70">
            <v>1.8714368338428489</v>
          </cell>
          <cell r="G70">
            <v>0.39742081998458978</v>
          </cell>
          <cell r="H70">
            <v>24698</v>
          </cell>
          <cell r="I70">
            <v>24600</v>
          </cell>
          <cell r="J70">
            <v>24659</v>
          </cell>
        </row>
        <row r="71">
          <cell r="A71">
            <v>46245</v>
          </cell>
          <cell r="B71">
            <v>36668</v>
          </cell>
          <cell r="C71">
            <v>2.9847855708165532</v>
          </cell>
          <cell r="D71">
            <v>27.869177633129837</v>
          </cell>
          <cell r="E71">
            <v>-0.48258242426700193</v>
          </cell>
          <cell r="F71">
            <v>1.3798231843344626</v>
          </cell>
          <cell r="G71">
            <v>0.45232273838630804</v>
          </cell>
          <cell r="H71">
            <v>24621</v>
          </cell>
          <cell r="I71">
            <v>24510</v>
          </cell>
          <cell r="J71">
            <v>24540</v>
          </cell>
        </row>
        <row r="72">
          <cell r="A72">
            <v>46246</v>
          </cell>
          <cell r="B72">
            <v>-18635</v>
          </cell>
          <cell r="C72">
            <v>-0.37269999999999998</v>
          </cell>
          <cell r="D72">
            <v>6.4747399999999997</v>
          </cell>
          <cell r="E72">
            <v>-0.2852485737571312</v>
          </cell>
          <cell r="F72">
            <v>1.0906386846236471</v>
          </cell>
          <cell r="G72">
            <v>0.81732733959950965</v>
          </cell>
          <cell r="H72">
            <v>24563</v>
          </cell>
          <cell r="I72">
            <v>24363</v>
          </cell>
          <cell r="J72">
            <v>24470</v>
          </cell>
        </row>
        <row r="73">
          <cell r="A73">
            <v>46247</v>
          </cell>
          <cell r="C73">
            <v>-8.2960000000000006E-2</v>
          </cell>
          <cell r="D73">
            <v>6.3917799999999998</v>
          </cell>
          <cell r="E73">
            <v>-8.1732733959950961E-3</v>
          </cell>
          <cell r="F73">
            <v>1.0823762703461952</v>
          </cell>
          <cell r="G73">
            <v>0.52721922511034824</v>
          </cell>
          <cell r="H73">
            <v>24514</v>
          </cell>
          <cell r="I73">
            <v>24385</v>
          </cell>
          <cell r="J73">
            <v>24468</v>
          </cell>
        </row>
        <row r="74">
          <cell r="A74">
            <v>46248</v>
          </cell>
          <cell r="C74">
            <v>0.63195999999999997</v>
          </cell>
          <cell r="D74">
            <v>7.0237400000000001</v>
          </cell>
          <cell r="E74">
            <v>-7.7652444008500895E-2</v>
          </cell>
          <cell r="F74">
            <v>1.0038833347104024</v>
          </cell>
          <cell r="G74">
            <v>0.43764571148104214</v>
          </cell>
          <cell r="H74">
            <v>24477</v>
          </cell>
          <cell r="I74">
            <v>24370</v>
          </cell>
          <cell r="J74">
            <v>24449</v>
          </cell>
        </row>
        <row r="75">
          <cell r="A75">
            <v>46251</v>
          </cell>
          <cell r="C75">
            <v>-4.122E-2</v>
          </cell>
          <cell r="D75">
            <v>6.9825200000000001</v>
          </cell>
          <cell r="E75">
            <v>-0.32312160006544233</v>
          </cell>
          <cell r="F75">
            <v>0.67751797075105347</v>
          </cell>
          <cell r="G75">
            <v>0.60730406237176859</v>
          </cell>
          <cell r="H75">
            <v>24436</v>
          </cell>
          <cell r="I75">
            <v>24288</v>
          </cell>
          <cell r="J75">
            <v>24370</v>
          </cell>
        </row>
        <row r="76">
          <cell r="A76">
            <v>46252</v>
          </cell>
          <cell r="C76">
            <v>0</v>
          </cell>
          <cell r="D76">
            <v>6.9825200000000001</v>
          </cell>
          <cell r="E76">
            <v>-100</v>
          </cell>
          <cell r="F76">
            <v>-100</v>
          </cell>
          <cell r="G76" t="e">
            <v>#DIV/0!</v>
          </cell>
        </row>
        <row r="77">
          <cell r="A77">
            <v>46253</v>
          </cell>
          <cell r="C77">
            <v>0</v>
          </cell>
          <cell r="D77">
            <v>6.9825200000000001</v>
          </cell>
          <cell r="E77" t="e">
            <v>#DIV/0!</v>
          </cell>
          <cell r="F77">
            <v>-100</v>
          </cell>
          <cell r="G77" t="e">
            <v>#DIV/0!</v>
          </cell>
        </row>
        <row r="78">
          <cell r="A78">
            <v>46254</v>
          </cell>
          <cell r="C78">
            <v>0</v>
          </cell>
          <cell r="D78">
            <v>6.9825200000000001</v>
          </cell>
          <cell r="E78" t="e">
            <v>#DIV/0!</v>
          </cell>
          <cell r="F78">
            <v>-100</v>
          </cell>
          <cell r="G78" t="e">
            <v>#DIV/0!</v>
          </cell>
        </row>
        <row r="79">
          <cell r="A79">
            <v>46255</v>
          </cell>
          <cell r="C79">
            <v>0</v>
          </cell>
          <cell r="D79">
            <v>6.9825200000000001</v>
          </cell>
          <cell r="E79" t="e">
            <v>#DIV/0!</v>
          </cell>
          <cell r="F79">
            <v>-100</v>
          </cell>
          <cell r="G79" t="e">
            <v>#DIV/0!</v>
          </cell>
        </row>
        <row r="80">
          <cell r="A80">
            <v>46258</v>
          </cell>
          <cell r="C80">
            <v>0</v>
          </cell>
          <cell r="D80">
            <v>-0.84084000000000003</v>
          </cell>
          <cell r="E80" t="e">
            <v>#DIV/0!</v>
          </cell>
          <cell r="F80">
            <v>-100</v>
          </cell>
          <cell r="G80" t="e">
            <v>#DIV/0!</v>
          </cell>
        </row>
        <row r="81">
          <cell r="A81">
            <v>46259</v>
          </cell>
          <cell r="C81">
            <v>0</v>
          </cell>
          <cell r="D81">
            <v>-0.84084000000000003</v>
          </cell>
          <cell r="E81" t="e">
            <v>#DIV/0!</v>
          </cell>
          <cell r="F81">
            <v>-100</v>
          </cell>
          <cell r="G81" t="e">
            <v>#DIV/0!</v>
          </cell>
        </row>
        <row r="82">
          <cell r="A82">
            <v>46260</v>
          </cell>
          <cell r="C82" t="e">
            <v>#VALUE!</v>
          </cell>
          <cell r="D82">
            <v>-0.84084000000000003</v>
          </cell>
          <cell r="E82" t="e">
            <v>#DIV/0!</v>
          </cell>
          <cell r="F82">
            <v>-100</v>
          </cell>
          <cell r="G82" t="e">
            <v>#DIV/0!</v>
          </cell>
        </row>
        <row r="83">
          <cell r="A83">
            <v>46261</v>
          </cell>
          <cell r="C83" t="e">
            <v>#VALUE!</v>
          </cell>
          <cell r="D83">
            <v>-0.84084000000000003</v>
          </cell>
          <cell r="E83" t="e">
            <v>#DIV/0!</v>
          </cell>
          <cell r="F83">
            <v>-100</v>
          </cell>
          <cell r="G83" t="e">
            <v>#DIV/0!</v>
          </cell>
        </row>
        <row r="84">
          <cell r="A84">
            <v>46262</v>
          </cell>
          <cell r="C84" t="e">
            <v>#VALUE!</v>
          </cell>
          <cell r="D84">
            <v>-0.84084000000000003</v>
          </cell>
          <cell r="E84" t="e">
            <v>#DIV/0!</v>
          </cell>
          <cell r="F84">
            <v>-100</v>
          </cell>
          <cell r="G84" t="e">
            <v>#DIV/0!</v>
          </cell>
        </row>
        <row r="85">
          <cell r="A85">
            <v>46265</v>
          </cell>
          <cell r="C85" t="e">
            <v>#VALUE!</v>
          </cell>
          <cell r="D85">
            <v>-0.84084000000000003</v>
          </cell>
          <cell r="E85" t="e">
            <v>#DIV/0!</v>
          </cell>
          <cell r="F85">
            <v>-100</v>
          </cell>
          <cell r="G85" t="e">
            <v>#DIV/0!</v>
          </cell>
        </row>
        <row r="86">
          <cell r="A86">
            <v>46266</v>
          </cell>
          <cell r="C86" t="e">
            <v>#VALUE!</v>
          </cell>
          <cell r="D86">
            <v>0</v>
          </cell>
          <cell r="E86" t="e">
            <v>#DIV/0!</v>
          </cell>
          <cell r="F86">
            <v>-100</v>
          </cell>
          <cell r="G86" t="e">
            <v>#DIV/0!</v>
          </cell>
        </row>
        <row r="87">
          <cell r="A87">
            <v>46267</v>
          </cell>
          <cell r="C87">
            <v>0</v>
          </cell>
          <cell r="D87">
            <v>0</v>
          </cell>
          <cell r="E87" t="e">
            <v>#DIV/0!</v>
          </cell>
          <cell r="F87">
            <v>-100</v>
          </cell>
          <cell r="G87" t="e">
            <v>#DIV/0!</v>
          </cell>
        </row>
        <row r="88">
          <cell r="A88">
            <v>46268</v>
          </cell>
          <cell r="C88">
            <v>0</v>
          </cell>
          <cell r="D88">
            <v>0</v>
          </cell>
          <cell r="E88" t="e">
            <v>#DIV/0!</v>
          </cell>
          <cell r="F88">
            <v>-100</v>
          </cell>
          <cell r="G88" t="e">
            <v>#DIV/0!</v>
          </cell>
        </row>
        <row r="89">
          <cell r="A89">
            <v>46269</v>
          </cell>
          <cell r="C89">
            <v>0</v>
          </cell>
          <cell r="D89">
            <v>0</v>
          </cell>
          <cell r="E89" t="e">
            <v>#DIV/0!</v>
          </cell>
          <cell r="F89">
            <v>-100</v>
          </cell>
          <cell r="G89" t="e">
            <v>#DIV/0!</v>
          </cell>
        </row>
        <row r="90">
          <cell r="A90">
            <v>46272</v>
          </cell>
          <cell r="C90">
            <v>0</v>
          </cell>
          <cell r="D90">
            <v>0</v>
          </cell>
          <cell r="E90" t="e">
            <v>#DIV/0!</v>
          </cell>
          <cell r="F90">
            <v>-100</v>
          </cell>
          <cell r="G90" t="e">
            <v>#DIV/0!</v>
          </cell>
        </row>
        <row r="91">
          <cell r="A91">
            <v>46273</v>
          </cell>
          <cell r="C91">
            <v>0</v>
          </cell>
          <cell r="D91">
            <v>0</v>
          </cell>
          <cell r="E91" t="e">
            <v>#DIV/0!</v>
          </cell>
          <cell r="F91">
            <v>-100</v>
          </cell>
          <cell r="G91" t="e">
            <v>#DIV/0!</v>
          </cell>
        </row>
        <row r="92">
          <cell r="A92">
            <v>46274</v>
          </cell>
          <cell r="C92">
            <v>0</v>
          </cell>
          <cell r="D92">
            <v>0</v>
          </cell>
          <cell r="E92" t="e">
            <v>#DIV/0!</v>
          </cell>
          <cell r="F92">
            <v>-100</v>
          </cell>
          <cell r="G92" t="e">
            <v>#DIV/0!</v>
          </cell>
        </row>
        <row r="93">
          <cell r="A93">
            <v>46275</v>
          </cell>
          <cell r="C93">
            <v>0</v>
          </cell>
          <cell r="D93">
            <v>0</v>
          </cell>
          <cell r="E93" t="e">
            <v>#DIV/0!</v>
          </cell>
          <cell r="F93">
            <v>-100</v>
          </cell>
          <cell r="G93" t="e">
            <v>#DIV/0!</v>
          </cell>
        </row>
        <row r="94">
          <cell r="A94">
            <v>46276</v>
          </cell>
          <cell r="C94">
            <v>0</v>
          </cell>
          <cell r="D94">
            <v>0</v>
          </cell>
          <cell r="E94" t="e">
            <v>#DIV/0!</v>
          </cell>
          <cell r="F94">
            <v>-100</v>
          </cell>
          <cell r="G94" t="e">
            <v>#DIV/0!</v>
          </cell>
        </row>
        <row r="95">
          <cell r="A95">
            <v>46279</v>
          </cell>
          <cell r="C95">
            <v>0</v>
          </cell>
          <cell r="D95">
            <v>0</v>
          </cell>
          <cell r="E95" t="e">
            <v>#DIV/0!</v>
          </cell>
          <cell r="F95">
            <v>-100</v>
          </cell>
          <cell r="G95" t="e">
            <v>#DIV/0!</v>
          </cell>
        </row>
        <row r="96">
          <cell r="A96">
            <v>46280</v>
          </cell>
          <cell r="C96">
            <v>0</v>
          </cell>
          <cell r="D96">
            <v>0</v>
          </cell>
          <cell r="E96" t="e">
            <v>#DIV/0!</v>
          </cell>
          <cell r="F96">
            <v>-100</v>
          </cell>
          <cell r="G96" t="e">
            <v>#DIV/0!</v>
          </cell>
        </row>
        <row r="97">
          <cell r="A97">
            <v>46281</v>
          </cell>
          <cell r="C97">
            <v>0</v>
          </cell>
          <cell r="D97">
            <v>0</v>
          </cell>
          <cell r="E97" t="e">
            <v>#DIV/0!</v>
          </cell>
          <cell r="F97">
            <v>-100</v>
          </cell>
          <cell r="G97" t="e">
            <v>#DIV/0!</v>
          </cell>
        </row>
        <row r="98">
          <cell r="A98">
            <v>46282</v>
          </cell>
          <cell r="C98">
            <v>0</v>
          </cell>
          <cell r="D98">
            <v>0</v>
          </cell>
          <cell r="E98" t="e">
            <v>#DIV/0!</v>
          </cell>
          <cell r="F98">
            <v>-100</v>
          </cell>
          <cell r="G98" t="e">
            <v>#DIV/0!</v>
          </cell>
        </row>
        <row r="99">
          <cell r="A99">
            <v>46283</v>
          </cell>
          <cell r="C99">
            <v>0</v>
          </cell>
          <cell r="D99">
            <v>0</v>
          </cell>
          <cell r="E99" t="e">
            <v>#DIV/0!</v>
          </cell>
          <cell r="F99">
            <v>-100</v>
          </cell>
          <cell r="G99" t="e">
            <v>#DIV/0!</v>
          </cell>
        </row>
        <row r="100">
          <cell r="A100">
            <v>46286</v>
          </cell>
          <cell r="C100">
            <v>0</v>
          </cell>
          <cell r="D100">
            <v>0</v>
          </cell>
          <cell r="E100" t="e">
            <v>#DIV/0!</v>
          </cell>
          <cell r="F100">
            <v>-100</v>
          </cell>
          <cell r="G100" t="e">
            <v>#DIV/0!</v>
          </cell>
        </row>
        <row r="101">
          <cell r="A101">
            <v>46287</v>
          </cell>
          <cell r="C101">
            <v>0</v>
          </cell>
          <cell r="D101">
            <v>0</v>
          </cell>
          <cell r="E101" t="e">
            <v>#DIV/0!</v>
          </cell>
          <cell r="F101">
            <v>-100</v>
          </cell>
          <cell r="G101" t="e">
            <v>#DIV/0!</v>
          </cell>
        </row>
        <row r="102">
          <cell r="A102">
            <v>46288</v>
          </cell>
          <cell r="C102">
            <v>0</v>
          </cell>
          <cell r="D102">
            <v>0</v>
          </cell>
          <cell r="E102" t="e">
            <v>#DIV/0!</v>
          </cell>
          <cell r="F102">
            <v>-100</v>
          </cell>
          <cell r="G102" t="e">
            <v>#DIV/0!</v>
          </cell>
        </row>
        <row r="103">
          <cell r="A103">
            <v>46289</v>
          </cell>
          <cell r="C103">
            <v>0</v>
          </cell>
          <cell r="D103">
            <v>0</v>
          </cell>
          <cell r="E103" t="e">
            <v>#DIV/0!</v>
          </cell>
          <cell r="F103">
            <v>-100</v>
          </cell>
          <cell r="G103" t="e">
            <v>#DIV/0!</v>
          </cell>
        </row>
        <row r="104">
          <cell r="A104">
            <v>46290</v>
          </cell>
          <cell r="C104">
            <v>0</v>
          </cell>
          <cell r="D104">
            <v>0</v>
          </cell>
          <cell r="E104" t="e">
            <v>#DIV/0!</v>
          </cell>
          <cell r="F104">
            <v>-100</v>
          </cell>
          <cell r="G104" t="e">
            <v>#DIV/0!</v>
          </cell>
        </row>
        <row r="105">
          <cell r="A105">
            <v>46293</v>
          </cell>
          <cell r="C105">
            <v>0</v>
          </cell>
          <cell r="D105">
            <v>0</v>
          </cell>
          <cell r="E105" t="e">
            <v>#DIV/0!</v>
          </cell>
          <cell r="F105">
            <v>-100</v>
          </cell>
          <cell r="G105" t="e">
            <v>#DIV/0!</v>
          </cell>
        </row>
        <row r="106">
          <cell r="A106">
            <v>46294</v>
          </cell>
          <cell r="C106">
            <v>0</v>
          </cell>
          <cell r="D106">
            <v>0</v>
          </cell>
          <cell r="E106" t="e">
            <v>#DIV/0!</v>
          </cell>
          <cell r="F106">
            <v>-100</v>
          </cell>
          <cell r="G106" t="e">
            <v>#DIV/0!</v>
          </cell>
        </row>
        <row r="107">
          <cell r="A107">
            <v>46295</v>
          </cell>
          <cell r="C107">
            <v>0</v>
          </cell>
          <cell r="D107">
            <v>0</v>
          </cell>
          <cell r="E107" t="e">
            <v>#DIV/0!</v>
          </cell>
          <cell r="F107">
            <v>-100</v>
          </cell>
          <cell r="G107" t="e">
            <v>#DIV/0!</v>
          </cell>
        </row>
        <row r="108">
          <cell r="A108">
            <v>46296</v>
          </cell>
          <cell r="C108">
            <v>0</v>
          </cell>
          <cell r="D108">
            <v>0</v>
          </cell>
          <cell r="E108" t="e">
            <v>#DIV/0!</v>
          </cell>
          <cell r="F108">
            <v>-100</v>
          </cell>
          <cell r="G108" t="e">
            <v>#DIV/0!</v>
          </cell>
        </row>
        <row r="109">
          <cell r="A109">
            <v>46297</v>
          </cell>
          <cell r="C109">
            <v>0</v>
          </cell>
          <cell r="D109">
            <v>0</v>
          </cell>
          <cell r="E109" t="e">
            <v>#DIV/0!</v>
          </cell>
          <cell r="F109">
            <v>-100</v>
          </cell>
          <cell r="G109" t="e">
            <v>#DIV/0!</v>
          </cell>
        </row>
        <row r="110">
          <cell r="A110">
            <v>46300</v>
          </cell>
          <cell r="C110">
            <v>0</v>
          </cell>
          <cell r="D110">
            <v>0</v>
          </cell>
          <cell r="E110" t="e">
            <v>#DIV/0!</v>
          </cell>
          <cell r="F110">
            <v>-100</v>
          </cell>
          <cell r="G110" t="e">
            <v>#DIV/0!</v>
          </cell>
        </row>
        <row r="111">
          <cell r="A111">
            <v>46301</v>
          </cell>
          <cell r="C111">
            <v>0</v>
          </cell>
          <cell r="D111">
            <v>0</v>
          </cell>
          <cell r="E111" t="e">
            <v>#DIV/0!</v>
          </cell>
          <cell r="F111">
            <v>-100</v>
          </cell>
          <cell r="G111" t="e">
            <v>#DIV/0!</v>
          </cell>
        </row>
        <row r="112">
          <cell r="A112">
            <v>46302</v>
          </cell>
          <cell r="C112">
            <v>0</v>
          </cell>
          <cell r="D112">
            <v>0</v>
          </cell>
          <cell r="E112" t="e">
            <v>#DIV/0!</v>
          </cell>
          <cell r="F112">
            <v>-100</v>
          </cell>
          <cell r="G112" t="e">
            <v>#DIV/0!</v>
          </cell>
        </row>
        <row r="113">
          <cell r="A113">
            <v>46303</v>
          </cell>
          <cell r="C113">
            <v>0</v>
          </cell>
          <cell r="D113">
            <v>0</v>
          </cell>
          <cell r="E113" t="e">
            <v>#DIV/0!</v>
          </cell>
          <cell r="F113">
            <v>-100</v>
          </cell>
          <cell r="G113" t="e">
            <v>#DIV/0!</v>
          </cell>
        </row>
        <row r="114">
          <cell r="A114">
            <v>46304</v>
          </cell>
          <cell r="C114">
            <v>0</v>
          </cell>
          <cell r="D114">
            <v>0</v>
          </cell>
          <cell r="E114" t="e">
            <v>#DIV/0!</v>
          </cell>
          <cell r="F114">
            <v>-100</v>
          </cell>
          <cell r="G114" t="e">
            <v>#DIV/0!</v>
          </cell>
        </row>
        <row r="115">
          <cell r="A115">
            <v>46307</v>
          </cell>
          <cell r="C115">
            <v>0</v>
          </cell>
          <cell r="D115">
            <v>0</v>
          </cell>
          <cell r="E115" t="e">
            <v>#DIV/0!</v>
          </cell>
          <cell r="F115">
            <v>-100</v>
          </cell>
          <cell r="G115" t="e">
            <v>#DIV/0!</v>
          </cell>
        </row>
        <row r="116">
          <cell r="A116">
            <v>46308</v>
          </cell>
          <cell r="C116">
            <v>0</v>
          </cell>
          <cell r="D116">
            <v>0</v>
          </cell>
          <cell r="E116" t="e">
            <v>#DIV/0!</v>
          </cell>
          <cell r="F116">
            <v>-100</v>
          </cell>
          <cell r="G116" t="e">
            <v>#DIV/0!</v>
          </cell>
        </row>
        <row r="117">
          <cell r="C117" t="e">
            <v>#N/A</v>
          </cell>
          <cell r="D117" t="e">
            <v>#N/A</v>
          </cell>
          <cell r="E117" t="e">
            <v>#DIV/0!</v>
          </cell>
          <cell r="F117">
            <v>-100</v>
          </cell>
          <cell r="G117" t="e">
            <v>#DIV/0!</v>
          </cell>
        </row>
        <row r="118">
          <cell r="C118" t="e">
            <v>#N/A</v>
          </cell>
          <cell r="D118" t="e">
            <v>#N/A</v>
          </cell>
          <cell r="E118" t="e">
            <v>#DIV/0!</v>
          </cell>
          <cell r="F118">
            <v>-100</v>
          </cell>
          <cell r="G118" t="e">
            <v>#DIV/0!</v>
          </cell>
        </row>
        <row r="119">
          <cell r="C119" t="e">
            <v>#N/A</v>
          </cell>
          <cell r="D119" t="e">
            <v>#N/A</v>
          </cell>
          <cell r="E119" t="e">
            <v>#DIV/0!</v>
          </cell>
          <cell r="F119">
            <v>-100</v>
          </cell>
          <cell r="G119" t="e">
            <v>#DIV/0!</v>
          </cell>
        </row>
        <row r="120">
          <cell r="C120" t="e">
            <v>#N/A</v>
          </cell>
          <cell r="D120" t="e">
            <v>#N/A</v>
          </cell>
          <cell r="E120" t="e">
            <v>#DIV/0!</v>
          </cell>
          <cell r="F120">
            <v>-100</v>
          </cell>
          <cell r="G120" t="e">
            <v>#DIV/0!</v>
          </cell>
        </row>
        <row r="121">
          <cell r="C121" t="e">
            <v>#N/A</v>
          </cell>
          <cell r="D121" t="e">
            <v>#N/A</v>
          </cell>
          <cell r="E121" t="e">
            <v>#DIV/0!</v>
          </cell>
          <cell r="F121">
            <v>-100</v>
          </cell>
          <cell r="G121" t="e">
            <v>#DIV/0!</v>
          </cell>
        </row>
        <row r="122">
          <cell r="C122" t="e">
            <v>#N/A</v>
          </cell>
          <cell r="D122" t="e">
            <v>#N/A</v>
          </cell>
          <cell r="E122" t="e">
            <v>#DIV/0!</v>
          </cell>
          <cell r="F122">
            <v>-100</v>
          </cell>
          <cell r="G122" t="e">
            <v>#DIV/0!</v>
          </cell>
        </row>
        <row r="123">
          <cell r="C123" t="e">
            <v>#N/A</v>
          </cell>
          <cell r="D123" t="e">
            <v>#N/A</v>
          </cell>
          <cell r="E123" t="e">
            <v>#DIV/0!</v>
          </cell>
          <cell r="F123">
            <v>-100</v>
          </cell>
          <cell r="G123" t="e">
            <v>#DIV/0!</v>
          </cell>
        </row>
        <row r="124">
          <cell r="C124" t="e">
            <v>#N/A</v>
          </cell>
          <cell r="D124" t="e">
            <v>#N/A</v>
          </cell>
          <cell r="E124" t="e">
            <v>#DIV/0!</v>
          </cell>
          <cell r="F124">
            <v>-100</v>
          </cell>
          <cell r="G124" t="e">
            <v>#DIV/0!</v>
          </cell>
        </row>
        <row r="125">
          <cell r="C125" t="e">
            <v>#N/A</v>
          </cell>
          <cell r="D125" t="e">
            <v>#N/A</v>
          </cell>
          <cell r="E125" t="e">
            <v>#DIV/0!</v>
          </cell>
          <cell r="F125">
            <v>-100</v>
          </cell>
          <cell r="G125" t="e">
            <v>#DIV/0!</v>
          </cell>
        </row>
        <row r="126">
          <cell r="C126" t="e">
            <v>#N/A</v>
          </cell>
          <cell r="D126" t="e">
            <v>#N/A</v>
          </cell>
          <cell r="E126" t="e">
            <v>#DIV/0!</v>
          </cell>
          <cell r="F126">
            <v>-100</v>
          </cell>
          <cell r="G126" t="e">
            <v>#DIV/0!</v>
          </cell>
        </row>
        <row r="127">
          <cell r="C127" t="e">
            <v>#N/A</v>
          </cell>
          <cell r="D127" t="e">
            <v>#N/A</v>
          </cell>
          <cell r="E127" t="e">
            <v>#DIV/0!</v>
          </cell>
          <cell r="F127">
            <v>-100</v>
          </cell>
          <cell r="G127" t="e">
            <v>#DIV/0!</v>
          </cell>
        </row>
        <row r="128">
          <cell r="C128" t="e">
            <v>#N/A</v>
          </cell>
          <cell r="D128" t="e">
            <v>#N/A</v>
          </cell>
          <cell r="E128" t="e">
            <v>#DIV/0!</v>
          </cell>
          <cell r="F128">
            <v>-100</v>
          </cell>
          <cell r="G128" t="e">
            <v>#DIV/0!</v>
          </cell>
        </row>
        <row r="129">
          <cell r="C129" t="e">
            <v>#N/A</v>
          </cell>
          <cell r="D129" t="e">
            <v>#N/A</v>
          </cell>
          <cell r="E129" t="e">
            <v>#DIV/0!</v>
          </cell>
          <cell r="F129">
            <v>-100</v>
          </cell>
          <cell r="G129" t="e">
            <v>#DIV/0!</v>
          </cell>
        </row>
        <row r="130">
          <cell r="C130" t="e">
            <v>#N/A</v>
          </cell>
          <cell r="D130" t="e">
            <v>#N/A</v>
          </cell>
          <cell r="E130" t="e">
            <v>#DIV/0!</v>
          </cell>
          <cell r="F130">
            <v>-100</v>
          </cell>
          <cell r="G130" t="e">
            <v>#DIV/0!</v>
          </cell>
        </row>
        <row r="131">
          <cell r="C131" t="e">
            <v>#N/A</v>
          </cell>
          <cell r="D131" t="e">
            <v>#N/A</v>
          </cell>
          <cell r="E131" t="e">
            <v>#DIV/0!</v>
          </cell>
          <cell r="F131">
            <v>-100</v>
          </cell>
          <cell r="G131" t="e">
            <v>#DIV/0!</v>
          </cell>
        </row>
        <row r="132">
          <cell r="C132" t="e">
            <v>#N/A</v>
          </cell>
          <cell r="D132" t="e">
            <v>#N/A</v>
          </cell>
          <cell r="E132" t="e">
            <v>#DIV/0!</v>
          </cell>
          <cell r="F132">
            <v>-100</v>
          </cell>
          <cell r="G132" t="e">
            <v>#DIV/0!</v>
          </cell>
        </row>
        <row r="133">
          <cell r="C133" t="e">
            <v>#N/A</v>
          </cell>
          <cell r="D133" t="e">
            <v>#N/A</v>
          </cell>
          <cell r="E133" t="e">
            <v>#DIV/0!</v>
          </cell>
          <cell r="F133">
            <v>-100</v>
          </cell>
          <cell r="G133" t="e">
            <v>#DIV/0!</v>
          </cell>
        </row>
        <row r="134">
          <cell r="C134" t="e">
            <v>#N/A</v>
          </cell>
          <cell r="D134" t="e">
            <v>#N/A</v>
          </cell>
          <cell r="E134" t="e">
            <v>#DIV/0!</v>
          </cell>
          <cell r="F134">
            <v>-100</v>
          </cell>
          <cell r="G134" t="e">
            <v>#DIV/0!</v>
          </cell>
        </row>
        <row r="135">
          <cell r="C135" t="e">
            <v>#N/A</v>
          </cell>
          <cell r="D135" t="e">
            <v>#N/A</v>
          </cell>
          <cell r="E135" t="e">
            <v>#DIV/0!</v>
          </cell>
          <cell r="F135">
            <v>-100</v>
          </cell>
          <cell r="G135" t="e">
            <v>#DIV/0!</v>
          </cell>
        </row>
        <row r="136">
          <cell r="C136" t="e">
            <v>#N/A</v>
          </cell>
          <cell r="D136" t="e">
            <v>#N/A</v>
          </cell>
          <cell r="E136" t="e">
            <v>#DIV/0!</v>
          </cell>
          <cell r="G136" t="e">
            <v>#DIV/0!</v>
          </cell>
        </row>
        <row r="137">
          <cell r="C137" t="e">
            <v>#N/A</v>
          </cell>
          <cell r="D137" t="e">
            <v>#N/A</v>
          </cell>
          <cell r="E137" t="e">
            <v>#DIV/0!</v>
          </cell>
          <cell r="G137" t="e">
            <v>#DIV/0!</v>
          </cell>
        </row>
        <row r="138">
          <cell r="C138" t="e">
            <v>#N/A</v>
          </cell>
          <cell r="D138" t="e">
            <v>#N/A</v>
          </cell>
          <cell r="E138" t="e">
            <v>#DIV/0!</v>
          </cell>
          <cell r="G138" t="e">
            <v>#DIV/0!</v>
          </cell>
        </row>
        <row r="139">
          <cell r="C139" t="e">
            <v>#N/A</v>
          </cell>
          <cell r="D139" t="e">
            <v>#N/A</v>
          </cell>
          <cell r="E139" t="e">
            <v>#DIV/0!</v>
          </cell>
          <cell r="G139" t="e">
            <v>#DIV/0!</v>
          </cell>
        </row>
        <row r="140">
          <cell r="C140" t="e">
            <v>#N/A</v>
          </cell>
          <cell r="D140" t="e">
            <v>#N/A</v>
          </cell>
          <cell r="E140" t="e">
            <v>#DIV/0!</v>
          </cell>
          <cell r="G140" t="e">
            <v>#DIV/0!</v>
          </cell>
        </row>
        <row r="141">
          <cell r="C141" t="e">
            <v>#N/A</v>
          </cell>
          <cell r="D141" t="e">
            <v>#N/A</v>
          </cell>
          <cell r="E141" t="e">
            <v>#DIV/0!</v>
          </cell>
          <cell r="G141" t="e">
            <v>#DIV/0!</v>
          </cell>
        </row>
        <row r="142">
          <cell r="C142" t="e">
            <v>#N/A</v>
          </cell>
          <cell r="D142" t="e">
            <v>#N/A</v>
          </cell>
          <cell r="E142" t="e">
            <v>#DIV/0!</v>
          </cell>
          <cell r="G142" t="e">
            <v>#DIV/0!</v>
          </cell>
        </row>
        <row r="143">
          <cell r="C143" t="e">
            <v>#N/A</v>
          </cell>
          <cell r="D143" t="e">
            <v>#N/A</v>
          </cell>
          <cell r="E143" t="e">
            <v>#DIV/0!</v>
          </cell>
          <cell r="G143" t="e">
            <v>#DIV/0!</v>
          </cell>
        </row>
        <row r="144">
          <cell r="C144" t="e">
            <v>#N/A</v>
          </cell>
          <cell r="D144" t="e">
            <v>#N/A</v>
          </cell>
          <cell r="E144" t="e">
            <v>#DIV/0!</v>
          </cell>
          <cell r="G144" t="e">
            <v>#DIV/0!</v>
          </cell>
        </row>
        <row r="145">
          <cell r="C145" t="e">
            <v>#N/A</v>
          </cell>
          <cell r="D145" t="e">
            <v>#N/A</v>
          </cell>
          <cell r="E145" t="e">
            <v>#DIV/0!</v>
          </cell>
          <cell r="G145" t="e">
            <v>#DIV/0!</v>
          </cell>
        </row>
        <row r="146">
          <cell r="C146" t="e">
            <v>#N/A</v>
          </cell>
          <cell r="D146" t="e">
            <v>#N/A</v>
          </cell>
          <cell r="E146" t="e">
            <v>#DIV/0!</v>
          </cell>
          <cell r="G146" t="e">
            <v>#DIV/0!</v>
          </cell>
        </row>
        <row r="147">
          <cell r="C147" t="e">
            <v>#N/A</v>
          </cell>
          <cell r="D147" t="e">
            <v>#N/A</v>
          </cell>
          <cell r="E147" t="e">
            <v>#DIV/0!</v>
          </cell>
          <cell r="G147" t="e">
            <v>#DIV/0!</v>
          </cell>
        </row>
        <row r="148">
          <cell r="C148" t="e">
            <v>#N/A</v>
          </cell>
          <cell r="D148" t="e">
            <v>#N/A</v>
          </cell>
          <cell r="E148" t="e">
            <v>#DIV/0!</v>
          </cell>
          <cell r="G148" t="e">
            <v>#DIV/0!</v>
          </cell>
        </row>
        <row r="149">
          <cell r="C149" t="e">
            <v>#N/A</v>
          </cell>
          <cell r="D149" t="e">
            <v>#N/A</v>
          </cell>
          <cell r="E149" t="e">
            <v>#DIV/0!</v>
          </cell>
          <cell r="G149" t="e">
            <v>#DIV/0!</v>
          </cell>
        </row>
        <row r="150">
          <cell r="C150" t="e">
            <v>#N/A</v>
          </cell>
          <cell r="D150" t="e">
            <v>#N/A</v>
          </cell>
          <cell r="E150" t="e">
            <v>#DIV/0!</v>
          </cell>
          <cell r="G150" t="e">
            <v>#DIV/0!</v>
          </cell>
        </row>
        <row r="151">
          <cell r="D151" t="e">
            <v>#N/A</v>
          </cell>
          <cell r="E151" t="e">
            <v>#DIV/0!</v>
          </cell>
          <cell r="G151" t="e">
            <v>#DIV/0!</v>
          </cell>
        </row>
        <row r="152">
          <cell r="D152" t="e">
            <v>#N/A</v>
          </cell>
          <cell r="E152" t="e">
            <v>#DIV/0!</v>
          </cell>
          <cell r="G152" t="e">
            <v>#DIV/0!</v>
          </cell>
        </row>
        <row r="153">
          <cell r="D153" t="e">
            <v>#N/A</v>
          </cell>
          <cell r="E153" t="e">
            <v>#DIV/0!</v>
          </cell>
          <cell r="G153" t="e">
            <v>#DIV/0!</v>
          </cell>
        </row>
        <row r="154">
          <cell r="D154" t="e">
            <v>#N/A</v>
          </cell>
          <cell r="E154" t="e">
            <v>#DIV/0!</v>
          </cell>
          <cell r="G154" t="e">
            <v>#DIV/0!</v>
          </cell>
        </row>
        <row r="155">
          <cell r="D155" t="e">
            <v>#N/A</v>
          </cell>
          <cell r="E155" t="e">
            <v>#DIV/0!</v>
          </cell>
          <cell r="G155" t="e">
            <v>#DIV/0!</v>
          </cell>
        </row>
        <row r="156">
          <cell r="D156" t="e">
            <v>#N/A</v>
          </cell>
          <cell r="E156" t="e">
            <v>#DIV/0!</v>
          </cell>
          <cell r="G156" t="e">
            <v>#DIV/0!</v>
          </cell>
        </row>
        <row r="157">
          <cell r="D157" t="e">
            <v>#N/A</v>
          </cell>
          <cell r="E157" t="e">
            <v>#DIV/0!</v>
          </cell>
          <cell r="G157" t="e">
            <v>#DIV/0!</v>
          </cell>
        </row>
        <row r="158">
          <cell r="D158" t="e">
            <v>#N/A</v>
          </cell>
          <cell r="E158" t="e">
            <v>#DIV/0!</v>
          </cell>
          <cell r="G158" t="e">
            <v>#DIV/0!</v>
          </cell>
        </row>
        <row r="159">
          <cell r="D159" t="e">
            <v>#N/A</v>
          </cell>
          <cell r="E159" t="e">
            <v>#DIV/0!</v>
          </cell>
          <cell r="G159" t="e">
            <v>#DIV/0!</v>
          </cell>
        </row>
        <row r="160">
          <cell r="D160" t="e">
            <v>#N/A</v>
          </cell>
          <cell r="E160" t="e">
            <v>#DIV/0!</v>
          </cell>
          <cell r="G160" t="e">
            <v>#DIV/0!</v>
          </cell>
        </row>
        <row r="161">
          <cell r="D161" t="e">
            <v>#N/A</v>
          </cell>
          <cell r="E161" t="e">
            <v>#DIV/0!</v>
          </cell>
          <cell r="G161" t="e">
            <v>#DIV/0!</v>
          </cell>
        </row>
        <row r="162">
          <cell r="D162" t="e">
            <v>#N/A</v>
          </cell>
          <cell r="E162" t="e">
            <v>#DIV/0!</v>
          </cell>
          <cell r="G162" t="e">
            <v>#DIV/0!</v>
          </cell>
        </row>
        <row r="163">
          <cell r="D163" t="e">
            <v>#N/A</v>
          </cell>
          <cell r="E163" t="e">
            <v>#DIV/0!</v>
          </cell>
          <cell r="G163" t="e">
            <v>#DIV/0!</v>
          </cell>
        </row>
        <row r="164">
          <cell r="D164" t="e">
            <v>#N/A</v>
          </cell>
          <cell r="E164" t="e">
            <v>#DIV/0!</v>
          </cell>
          <cell r="G164" t="e">
            <v>#DIV/0!</v>
          </cell>
        </row>
        <row r="165">
          <cell r="D165" t="e">
            <v>#N/A</v>
          </cell>
          <cell r="E165" t="e">
            <v>#DIV/0!</v>
          </cell>
          <cell r="G165" t="e">
            <v>#DIV/0!</v>
          </cell>
        </row>
        <row r="166">
          <cell r="D166" t="e">
            <v>#N/A</v>
          </cell>
          <cell r="E166" t="e">
            <v>#DIV/0!</v>
          </cell>
          <cell r="G166" t="e">
            <v>#DIV/0!</v>
          </cell>
        </row>
        <row r="167">
          <cell r="D167" t="e">
            <v>#N/A</v>
          </cell>
          <cell r="E167" t="e">
            <v>#DIV/0!</v>
          </cell>
          <cell r="G167" t="e">
            <v>#DIV/0!</v>
          </cell>
        </row>
        <row r="168">
          <cell r="D168" t="e">
            <v>#N/A</v>
          </cell>
          <cell r="E168" t="e">
            <v>#DIV/0!</v>
          </cell>
          <cell r="G168" t="e">
            <v>#DIV/0!</v>
          </cell>
        </row>
        <row r="169">
          <cell r="D169" t="e">
            <v>#N/A</v>
          </cell>
          <cell r="E169" t="e">
            <v>#DIV/0!</v>
          </cell>
          <cell r="G169" t="e">
            <v>#DIV/0!</v>
          </cell>
        </row>
        <row r="170">
          <cell r="D170" t="e">
            <v>#N/A</v>
          </cell>
          <cell r="E170" t="e">
            <v>#DIV/0!</v>
          </cell>
          <cell r="G170" t="e">
            <v>#DIV/0!</v>
          </cell>
        </row>
        <row r="171">
          <cell r="D171" t="e">
            <v>#N/A</v>
          </cell>
          <cell r="E171" t="e">
            <v>#DIV/0!</v>
          </cell>
          <cell r="G171" t="e">
            <v>#DIV/0!</v>
          </cell>
        </row>
        <row r="172">
          <cell r="D172" t="e">
            <v>#N/A</v>
          </cell>
          <cell r="E172" t="e">
            <v>#DIV/0!</v>
          </cell>
          <cell r="G172" t="e">
            <v>#DIV/0!</v>
          </cell>
        </row>
        <row r="173">
          <cell r="D173" t="e">
            <v>#N/A</v>
          </cell>
          <cell r="E173" t="e">
            <v>#DIV/0!</v>
          </cell>
          <cell r="G173" t="e">
            <v>#DIV/0!</v>
          </cell>
        </row>
        <row r="174">
          <cell r="D174" t="e">
            <v>#N/A</v>
          </cell>
          <cell r="E174" t="e">
            <v>#DIV/0!</v>
          </cell>
          <cell r="G174" t="e">
            <v>#DIV/0!</v>
          </cell>
        </row>
        <row r="175">
          <cell r="D175" t="e">
            <v>#N/A</v>
          </cell>
          <cell r="E175" t="e">
            <v>#DIV/0!</v>
          </cell>
          <cell r="G175" t="e">
            <v>#DIV/0!</v>
          </cell>
        </row>
        <row r="176">
          <cell r="D176" t="e">
            <v>#N/A</v>
          </cell>
          <cell r="E176" t="e">
            <v>#DIV/0!</v>
          </cell>
          <cell r="G176" t="e">
            <v>#DIV/0!</v>
          </cell>
        </row>
        <row r="177">
          <cell r="D177" t="e">
            <v>#N/A</v>
          </cell>
          <cell r="E177" t="e">
            <v>#DIV/0!</v>
          </cell>
          <cell r="G177" t="e">
            <v>#DIV/0!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2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12.5703125" defaultRowHeight="15" customHeight="1" x14ac:dyDescent="0.25"/>
  <cols>
    <col min="1" max="1" width="11.7109375" customWidth="1"/>
    <col min="2" max="2" width="13.42578125" customWidth="1"/>
    <col min="3" max="3" width="10.7109375" customWidth="1"/>
    <col min="4" max="4" width="10.85546875" customWidth="1"/>
    <col min="5" max="5" width="11" customWidth="1"/>
    <col min="6" max="6" width="20.28515625" customWidth="1"/>
    <col min="7" max="7" width="27.140625" customWidth="1"/>
    <col min="8" max="9" width="22.7109375" customWidth="1"/>
    <col min="10" max="10" width="76.85546875" customWidth="1"/>
    <col min="11" max="26" width="8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>
        <v>46240</v>
      </c>
      <c r="B2" s="1">
        <f>VLOOKUP(A2,'[1]NIFTY VS RCG INTERS 3 X '!$A$2:$J$177,10,)</f>
        <v>24739</v>
      </c>
      <c r="C2" s="1">
        <f t="shared" ref="C2:C8" si="0">(B2)*10%</f>
        <v>2473.9</v>
      </c>
      <c r="D2" s="1">
        <f t="shared" ref="D2:D8" si="1">B2+C2</f>
        <v>27212.9</v>
      </c>
      <c r="E2" s="1">
        <f t="shared" ref="E2:E8" si="2">B2-C2</f>
        <v>22265.1</v>
      </c>
      <c r="H2" s="1">
        <v>-20477</v>
      </c>
    </row>
    <row r="3" spans="1:10" ht="15.75" customHeight="1" x14ac:dyDescent="0.25">
      <c r="A3" s="2">
        <f t="shared" ref="A3:A66" si="3">WORKDAY(A2,1)</f>
        <v>46241</v>
      </c>
      <c r="B3" s="1">
        <f>VLOOKUP(A3,'[1]NIFTY VS RCG INTERS 3 X '!$A$2:$J$177,10,)</f>
        <v>24655</v>
      </c>
      <c r="C3" s="1">
        <f t="shared" si="0"/>
        <v>2465.5</v>
      </c>
      <c r="D3" s="1">
        <f t="shared" si="1"/>
        <v>27120.5</v>
      </c>
      <c r="E3" s="1">
        <f t="shared" si="2"/>
        <v>22189.5</v>
      </c>
      <c r="G3">
        <v>-76154</v>
      </c>
      <c r="H3" s="1"/>
    </row>
    <row r="4" spans="1:10" ht="15.75" customHeight="1" x14ac:dyDescent="0.25">
      <c r="A4" s="2">
        <f t="shared" si="3"/>
        <v>46244</v>
      </c>
      <c r="B4" s="1">
        <f>VLOOKUP(A4,'[1]NIFTY VS RCG INTERS 3 X '!$A$2:$J$177,10,)</f>
        <v>24659</v>
      </c>
      <c r="C4" s="1">
        <f t="shared" si="0"/>
        <v>2465.9</v>
      </c>
      <c r="D4" s="1">
        <f t="shared" si="1"/>
        <v>27124.9</v>
      </c>
      <c r="E4" s="1">
        <f t="shared" si="2"/>
        <v>22193.1</v>
      </c>
      <c r="G4">
        <v>-5610</v>
      </c>
      <c r="H4" s="1"/>
    </row>
    <row r="5" spans="1:10" ht="15.75" customHeight="1" x14ac:dyDescent="0.25">
      <c r="A5" s="2">
        <f t="shared" si="3"/>
        <v>46245</v>
      </c>
      <c r="B5" s="1">
        <f>VLOOKUP(A5,'[1]NIFTY VS RCG INTERS 3 X '!$A$2:$J$177,10,)</f>
        <v>24540</v>
      </c>
      <c r="C5" s="1">
        <f t="shared" si="0"/>
        <v>2454</v>
      </c>
      <c r="D5" s="1">
        <f t="shared" si="1"/>
        <v>26994</v>
      </c>
      <c r="E5" s="1">
        <f t="shared" si="2"/>
        <v>22086</v>
      </c>
      <c r="G5">
        <v>-33068</v>
      </c>
    </row>
    <row r="6" spans="1:10" ht="15.75" customHeight="1" x14ac:dyDescent="0.25">
      <c r="A6" s="2">
        <f t="shared" si="3"/>
        <v>46246</v>
      </c>
      <c r="B6" s="1">
        <f>VLOOKUP(A6,'[1]NIFTY VS RCG INTERS 3 X '!$A$2:$J$177,10,)</f>
        <v>24470</v>
      </c>
      <c r="C6" s="1">
        <f t="shared" si="0"/>
        <v>2447</v>
      </c>
      <c r="D6" s="1">
        <f t="shared" si="1"/>
        <v>26917</v>
      </c>
      <c r="E6" s="1">
        <f t="shared" si="2"/>
        <v>22023</v>
      </c>
      <c r="G6">
        <v>-6470</v>
      </c>
      <c r="H6" s="1"/>
    </row>
    <row r="7" spans="1:10" ht="15.75" customHeight="1" x14ac:dyDescent="0.25">
      <c r="A7" s="2">
        <f t="shared" si="3"/>
        <v>46247</v>
      </c>
      <c r="B7" s="1">
        <f>VLOOKUP(A7,'[1]NIFTY VS RCG INTERS 3 X '!$A$2:$J$177,10,)</f>
        <v>24468</v>
      </c>
      <c r="C7" s="1">
        <f t="shared" si="0"/>
        <v>2446.8000000000002</v>
      </c>
      <c r="D7" s="1">
        <f t="shared" si="1"/>
        <v>26914.799999999999</v>
      </c>
      <c r="E7" s="1">
        <f t="shared" si="2"/>
        <v>22021.200000000001</v>
      </c>
      <c r="G7">
        <v>-8133</v>
      </c>
      <c r="H7" s="1"/>
    </row>
    <row r="8" spans="1:10" ht="15.75" customHeight="1" x14ac:dyDescent="0.25">
      <c r="A8" s="2">
        <f t="shared" si="3"/>
        <v>46248</v>
      </c>
      <c r="B8" s="1">
        <f>VLOOKUP(A8,'[1]NIFTY VS RCG INTERS 3 X '!$A$2:$J$177,10,)</f>
        <v>24449</v>
      </c>
      <c r="C8" s="1">
        <f t="shared" si="0"/>
        <v>2444.9</v>
      </c>
      <c r="D8" s="1">
        <f t="shared" si="1"/>
        <v>26893.9</v>
      </c>
      <c r="E8" s="1">
        <f t="shared" si="2"/>
        <v>22004.1</v>
      </c>
      <c r="G8">
        <v>-1561</v>
      </c>
      <c r="H8" s="1"/>
    </row>
    <row r="9" spans="1:10" ht="15.75" customHeight="1" x14ac:dyDescent="0.25">
      <c r="A9" s="2">
        <f t="shared" si="3"/>
        <v>46251</v>
      </c>
      <c r="B9" s="1">
        <f>VLOOKUP(A9,'[1]NIFTY VS RCG INTERS 3 X '!$A$2:$J$177,10,)</f>
        <v>24370</v>
      </c>
      <c r="C9" s="1">
        <f t="shared" ref="C9:C72" si="4">(B9)*10%</f>
        <v>2437</v>
      </c>
      <c r="D9" s="1">
        <f t="shared" ref="D9:D72" si="5">B9+C9</f>
        <v>26807</v>
      </c>
      <c r="E9" s="1">
        <f t="shared" ref="E9:E72" si="6">B9-C9</f>
        <v>21933</v>
      </c>
      <c r="G9">
        <v>-78723</v>
      </c>
      <c r="H9" s="1"/>
    </row>
    <row r="10" spans="1:10" ht="15.75" customHeight="1" x14ac:dyDescent="0.25">
      <c r="A10" s="2">
        <f t="shared" si="3"/>
        <v>46252</v>
      </c>
      <c r="B10" s="1">
        <f>VLOOKUP(A10,'[1]NIFTY VS RCG INTERS 3 X '!$A$2:$J$177,10,)</f>
        <v>0</v>
      </c>
      <c r="C10" s="1">
        <f t="shared" si="4"/>
        <v>0</v>
      </c>
      <c r="D10" s="1">
        <f t="shared" si="5"/>
        <v>0</v>
      </c>
      <c r="E10" s="1">
        <f t="shared" si="6"/>
        <v>0</v>
      </c>
      <c r="H10" s="1"/>
    </row>
    <row r="11" spans="1:10" ht="15.75" customHeight="1" x14ac:dyDescent="0.25">
      <c r="A11" s="2">
        <f t="shared" si="3"/>
        <v>46253</v>
      </c>
      <c r="B11" s="1">
        <f>VLOOKUP(A11,'[1]NIFTY VS RCG INTERS 3 X '!$A$2:$J$177,10,)</f>
        <v>0</v>
      </c>
      <c r="C11" s="1">
        <f t="shared" si="4"/>
        <v>0</v>
      </c>
      <c r="D11" s="1">
        <f t="shared" si="5"/>
        <v>0</v>
      </c>
      <c r="E11" s="1">
        <f t="shared" si="6"/>
        <v>0</v>
      </c>
      <c r="H11" s="1"/>
    </row>
    <row r="12" spans="1:10" ht="15.75" customHeight="1" x14ac:dyDescent="0.25">
      <c r="A12" s="2">
        <f t="shared" si="3"/>
        <v>46254</v>
      </c>
      <c r="B12" s="1">
        <f>VLOOKUP(A12,'[1]NIFTY VS RCG INTERS 3 X '!$A$2:$J$177,10,)</f>
        <v>0</v>
      </c>
      <c r="C12" s="1">
        <f t="shared" si="4"/>
        <v>0</v>
      </c>
      <c r="D12" s="1">
        <f t="shared" si="5"/>
        <v>0</v>
      </c>
      <c r="E12" s="1">
        <f t="shared" si="6"/>
        <v>0</v>
      </c>
      <c r="G12" s="1"/>
    </row>
    <row r="13" spans="1:10" ht="15.75" customHeight="1" x14ac:dyDescent="0.25">
      <c r="A13" s="2">
        <f t="shared" si="3"/>
        <v>46255</v>
      </c>
      <c r="B13" s="1">
        <f>VLOOKUP(A13,'[1]NIFTY VS RCG INTERS 3 X '!$A$2:$J$177,10,)</f>
        <v>0</v>
      </c>
      <c r="C13" s="1">
        <f t="shared" si="4"/>
        <v>0</v>
      </c>
      <c r="D13" s="1">
        <f t="shared" si="5"/>
        <v>0</v>
      </c>
      <c r="E13" s="1">
        <f t="shared" si="6"/>
        <v>0</v>
      </c>
      <c r="G13" s="1"/>
      <c r="H13" s="1"/>
    </row>
    <row r="14" spans="1:10" ht="15.75" customHeight="1" x14ac:dyDescent="0.25">
      <c r="A14" s="2">
        <f t="shared" si="3"/>
        <v>46258</v>
      </c>
      <c r="B14" s="1">
        <f>VLOOKUP(A14,'[1]NIFTY VS RCG INTERS 3 X '!$A$2:$J$177,10,)</f>
        <v>0</v>
      </c>
      <c r="C14" s="1">
        <f t="shared" si="4"/>
        <v>0</v>
      </c>
      <c r="D14" s="1">
        <f t="shared" si="5"/>
        <v>0</v>
      </c>
      <c r="E14" s="1">
        <f t="shared" si="6"/>
        <v>0</v>
      </c>
      <c r="G14" s="1"/>
    </row>
    <row r="15" spans="1:10" ht="15.75" customHeight="1" x14ac:dyDescent="0.25">
      <c r="A15" s="2">
        <f t="shared" si="3"/>
        <v>46259</v>
      </c>
      <c r="B15" s="1">
        <f>VLOOKUP(A15,'[1]NIFTY VS RCG INTERS 3 X '!$A$2:$J$177,10,)</f>
        <v>0</v>
      </c>
      <c r="C15" s="1">
        <f t="shared" si="4"/>
        <v>0</v>
      </c>
      <c r="D15" s="1">
        <f t="shared" si="5"/>
        <v>0</v>
      </c>
      <c r="E15" s="1">
        <f t="shared" si="6"/>
        <v>0</v>
      </c>
      <c r="G15" s="1"/>
      <c r="H15" s="1"/>
    </row>
    <row r="16" spans="1:10" ht="15.75" customHeight="1" x14ac:dyDescent="0.25">
      <c r="A16" s="2">
        <f t="shared" si="3"/>
        <v>46260</v>
      </c>
      <c r="B16" s="1">
        <f>VLOOKUP(A16,'[1]NIFTY VS RCG INTERS 3 X '!$A$2:$J$177,10,)</f>
        <v>0</v>
      </c>
      <c r="C16" s="1">
        <f t="shared" si="4"/>
        <v>0</v>
      </c>
      <c r="D16" s="1">
        <f t="shared" si="5"/>
        <v>0</v>
      </c>
      <c r="E16" s="1">
        <f t="shared" si="6"/>
        <v>0</v>
      </c>
      <c r="H16" s="1"/>
    </row>
    <row r="17" spans="1:8" ht="15.75" customHeight="1" x14ac:dyDescent="0.25">
      <c r="A17" s="2">
        <f t="shared" si="3"/>
        <v>46261</v>
      </c>
      <c r="B17" s="1">
        <f>VLOOKUP(A17,'[1]NIFTY VS RCG INTERS 3 X '!$A$2:$J$177,10,)</f>
        <v>0</v>
      </c>
      <c r="C17" s="1">
        <f t="shared" si="4"/>
        <v>0</v>
      </c>
      <c r="D17" s="1">
        <f t="shared" si="5"/>
        <v>0</v>
      </c>
      <c r="E17" s="1">
        <f t="shared" si="6"/>
        <v>0</v>
      </c>
      <c r="H17" s="1"/>
    </row>
    <row r="18" spans="1:8" ht="15.75" customHeight="1" x14ac:dyDescent="0.25">
      <c r="A18" s="2">
        <f t="shared" si="3"/>
        <v>46262</v>
      </c>
      <c r="B18" s="1">
        <f>VLOOKUP(A18,'[1]NIFTY VS RCG INTERS 3 X '!$A$2:$J$177,10,)</f>
        <v>0</v>
      </c>
      <c r="C18" s="1">
        <f t="shared" si="4"/>
        <v>0</v>
      </c>
      <c r="D18" s="1">
        <f t="shared" si="5"/>
        <v>0</v>
      </c>
      <c r="E18" s="1">
        <f t="shared" si="6"/>
        <v>0</v>
      </c>
      <c r="H18" s="1"/>
    </row>
    <row r="19" spans="1:8" ht="15.75" customHeight="1" x14ac:dyDescent="0.25">
      <c r="A19" s="2">
        <f t="shared" si="3"/>
        <v>46265</v>
      </c>
      <c r="B19" s="1">
        <f>VLOOKUP(A19,'[1]NIFTY VS RCG INTERS 3 X '!$A$2:$J$177,10,)</f>
        <v>0</v>
      </c>
      <c r="C19" s="1">
        <f t="shared" si="4"/>
        <v>0</v>
      </c>
      <c r="D19" s="1">
        <f t="shared" si="5"/>
        <v>0</v>
      </c>
      <c r="E19" s="1">
        <f t="shared" si="6"/>
        <v>0</v>
      </c>
      <c r="G19" s="1"/>
    </row>
    <row r="20" spans="1:8" ht="15.75" customHeight="1" x14ac:dyDescent="0.25">
      <c r="A20" s="2">
        <f t="shared" si="3"/>
        <v>46266</v>
      </c>
      <c r="B20" s="1">
        <f>VLOOKUP(A20,'[1]NIFTY VS RCG INTERS 3 X '!$A$2:$J$177,10,)</f>
        <v>0</v>
      </c>
      <c r="C20" s="1">
        <f t="shared" si="4"/>
        <v>0</v>
      </c>
      <c r="D20" s="1">
        <f t="shared" si="5"/>
        <v>0</v>
      </c>
      <c r="E20" s="1">
        <f t="shared" si="6"/>
        <v>0</v>
      </c>
      <c r="G20" s="1"/>
    </row>
    <row r="21" spans="1:8" ht="15.75" customHeight="1" x14ac:dyDescent="0.25">
      <c r="A21" s="2">
        <f t="shared" si="3"/>
        <v>46267</v>
      </c>
      <c r="B21" s="1">
        <f>VLOOKUP(A21,'[1]NIFTY VS RCG INTERS 3 X '!$A$2:$J$177,10,)</f>
        <v>0</v>
      </c>
      <c r="C21" s="1">
        <f t="shared" si="4"/>
        <v>0</v>
      </c>
      <c r="D21" s="1">
        <f t="shared" si="5"/>
        <v>0</v>
      </c>
      <c r="E21" s="1">
        <f t="shared" si="6"/>
        <v>0</v>
      </c>
      <c r="H21" s="1"/>
    </row>
    <row r="22" spans="1:8" ht="15.75" customHeight="1" x14ac:dyDescent="0.25">
      <c r="A22" s="2">
        <f t="shared" si="3"/>
        <v>46268</v>
      </c>
      <c r="B22" s="1">
        <f>VLOOKUP(A22,'[1]NIFTY VS RCG INTERS 3 X '!$A$2:$J$177,10,)</f>
        <v>0</v>
      </c>
      <c r="C22" s="1">
        <f t="shared" si="4"/>
        <v>0</v>
      </c>
      <c r="D22" s="1">
        <f t="shared" si="5"/>
        <v>0</v>
      </c>
      <c r="E22" s="1">
        <f t="shared" si="6"/>
        <v>0</v>
      </c>
      <c r="H22" s="1"/>
    </row>
    <row r="23" spans="1:8" ht="15.75" customHeight="1" x14ac:dyDescent="0.25">
      <c r="A23" s="2">
        <f t="shared" si="3"/>
        <v>46269</v>
      </c>
      <c r="B23" s="1">
        <f>VLOOKUP(A23,'[1]NIFTY VS RCG INTERS 3 X '!$A$2:$J$177,10,)</f>
        <v>0</v>
      </c>
      <c r="C23" s="1">
        <f t="shared" si="4"/>
        <v>0</v>
      </c>
      <c r="D23" s="1">
        <f t="shared" si="5"/>
        <v>0</v>
      </c>
      <c r="E23" s="1">
        <f t="shared" si="6"/>
        <v>0</v>
      </c>
      <c r="G23" s="1"/>
    </row>
    <row r="24" spans="1:8" ht="15.75" customHeight="1" x14ac:dyDescent="0.25">
      <c r="A24" s="2">
        <f t="shared" si="3"/>
        <v>46272</v>
      </c>
      <c r="B24" s="1">
        <f>VLOOKUP(A24,'[1]NIFTY VS RCG INTERS 3 X '!$A$2:$J$177,10,)</f>
        <v>0</v>
      </c>
      <c r="C24" s="1">
        <f t="shared" si="4"/>
        <v>0</v>
      </c>
      <c r="D24" s="1">
        <f t="shared" si="5"/>
        <v>0</v>
      </c>
      <c r="E24" s="1">
        <f t="shared" si="6"/>
        <v>0</v>
      </c>
      <c r="G24" s="1"/>
      <c r="H24" s="1"/>
    </row>
    <row r="25" spans="1:8" ht="15.75" customHeight="1" x14ac:dyDescent="0.25">
      <c r="A25" s="2">
        <f t="shared" si="3"/>
        <v>46273</v>
      </c>
      <c r="B25" s="1">
        <f>VLOOKUP(A25,'[1]NIFTY VS RCG INTERS 3 X '!$A$2:$J$177,10,)</f>
        <v>0</v>
      </c>
      <c r="C25" s="1">
        <f t="shared" si="4"/>
        <v>0</v>
      </c>
      <c r="D25" s="1">
        <f t="shared" si="5"/>
        <v>0</v>
      </c>
      <c r="E25" s="1">
        <f t="shared" si="6"/>
        <v>0</v>
      </c>
      <c r="G25" s="1"/>
    </row>
    <row r="26" spans="1:8" ht="15.75" customHeight="1" x14ac:dyDescent="0.25">
      <c r="A26" s="2">
        <f t="shared" si="3"/>
        <v>46274</v>
      </c>
      <c r="B26" s="1">
        <f>VLOOKUP(A26,'[1]NIFTY VS RCG INTERS 3 X '!$A$2:$J$177,10,)</f>
        <v>0</v>
      </c>
      <c r="C26" s="1">
        <f t="shared" si="4"/>
        <v>0</v>
      </c>
      <c r="D26" s="1">
        <f t="shared" si="5"/>
        <v>0</v>
      </c>
      <c r="E26" s="1">
        <f t="shared" si="6"/>
        <v>0</v>
      </c>
      <c r="H26" s="1"/>
    </row>
    <row r="27" spans="1:8" ht="15.75" customHeight="1" x14ac:dyDescent="0.25">
      <c r="A27" s="2">
        <f t="shared" si="3"/>
        <v>46275</v>
      </c>
      <c r="B27" s="1">
        <f>VLOOKUP(A27,'[1]NIFTY VS RCG INTERS 3 X '!$A$2:$J$177,10,)</f>
        <v>0</v>
      </c>
      <c r="C27" s="1">
        <f t="shared" si="4"/>
        <v>0</v>
      </c>
      <c r="D27" s="1">
        <f t="shared" si="5"/>
        <v>0</v>
      </c>
      <c r="E27" s="1">
        <f t="shared" si="6"/>
        <v>0</v>
      </c>
      <c r="H27" s="1"/>
    </row>
    <row r="28" spans="1:8" ht="15.75" customHeight="1" x14ac:dyDescent="0.25">
      <c r="A28" s="2">
        <f t="shared" si="3"/>
        <v>46276</v>
      </c>
      <c r="B28" s="1">
        <f>VLOOKUP(A28,'[1]NIFTY VS RCG INTERS 3 X '!$A$2:$J$177,10,)</f>
        <v>0</v>
      </c>
      <c r="C28" s="1">
        <f t="shared" si="4"/>
        <v>0</v>
      </c>
      <c r="D28" s="1">
        <f t="shared" si="5"/>
        <v>0</v>
      </c>
      <c r="E28" s="1">
        <f t="shared" si="6"/>
        <v>0</v>
      </c>
      <c r="H28" s="1"/>
    </row>
    <row r="29" spans="1:8" ht="15.75" customHeight="1" x14ac:dyDescent="0.25">
      <c r="A29" s="2">
        <f t="shared" si="3"/>
        <v>46279</v>
      </c>
      <c r="B29" s="1">
        <f>VLOOKUP(A29,'[1]NIFTY VS RCG INTERS 3 X '!$A$2:$J$177,10,)</f>
        <v>0</v>
      </c>
      <c r="C29" s="1">
        <f t="shared" si="4"/>
        <v>0</v>
      </c>
      <c r="D29" s="1">
        <f t="shared" si="5"/>
        <v>0</v>
      </c>
      <c r="E29" s="1">
        <f t="shared" si="6"/>
        <v>0</v>
      </c>
      <c r="G29" s="1"/>
    </row>
    <row r="30" spans="1:8" ht="15.75" customHeight="1" x14ac:dyDescent="0.25">
      <c r="A30" s="2">
        <f t="shared" si="3"/>
        <v>46280</v>
      </c>
      <c r="B30" s="1">
        <f>VLOOKUP(A30,'[1]NIFTY VS RCG INTERS 3 X '!$A$2:$J$177,10,)</f>
        <v>0</v>
      </c>
      <c r="C30" s="1">
        <f t="shared" si="4"/>
        <v>0</v>
      </c>
      <c r="D30" s="1">
        <f t="shared" si="5"/>
        <v>0</v>
      </c>
      <c r="E30" s="1">
        <f t="shared" si="6"/>
        <v>0</v>
      </c>
      <c r="G30" s="1"/>
    </row>
    <row r="31" spans="1:8" ht="15.75" customHeight="1" x14ac:dyDescent="0.25">
      <c r="A31" s="2">
        <f t="shared" si="3"/>
        <v>46281</v>
      </c>
      <c r="B31" s="1">
        <f>VLOOKUP(A31,'[1]NIFTY VS RCG INTERS 3 X '!$A$2:$J$177,10,)</f>
        <v>0</v>
      </c>
      <c r="C31" s="1">
        <f t="shared" si="4"/>
        <v>0</v>
      </c>
      <c r="D31" s="1">
        <f t="shared" si="5"/>
        <v>0</v>
      </c>
      <c r="E31" s="1">
        <f t="shared" si="6"/>
        <v>0</v>
      </c>
      <c r="G31" s="1"/>
    </row>
    <row r="32" spans="1:8" ht="15.75" customHeight="1" x14ac:dyDescent="0.25">
      <c r="A32" s="2">
        <f t="shared" si="3"/>
        <v>46282</v>
      </c>
      <c r="B32" s="1">
        <f>VLOOKUP(A32,'[1]NIFTY VS RCG INTERS 3 X '!$A$2:$J$177,10,)</f>
        <v>0</v>
      </c>
      <c r="C32" s="1">
        <f t="shared" si="4"/>
        <v>0</v>
      </c>
      <c r="D32" s="1">
        <f t="shared" si="5"/>
        <v>0</v>
      </c>
      <c r="E32" s="1">
        <f t="shared" si="6"/>
        <v>0</v>
      </c>
    </row>
    <row r="33" spans="1:5" ht="15.75" customHeight="1" x14ac:dyDescent="0.25">
      <c r="A33" s="2">
        <f t="shared" si="3"/>
        <v>46283</v>
      </c>
      <c r="B33" s="1">
        <f>VLOOKUP(A33,'[1]NIFTY VS RCG INTERS 3 X '!$A$2:$J$177,10,)</f>
        <v>0</v>
      </c>
      <c r="C33" s="1">
        <f t="shared" si="4"/>
        <v>0</v>
      </c>
      <c r="D33" s="1">
        <f t="shared" si="5"/>
        <v>0</v>
      </c>
      <c r="E33" s="1">
        <f t="shared" si="6"/>
        <v>0</v>
      </c>
    </row>
    <row r="34" spans="1:5" ht="15.75" customHeight="1" x14ac:dyDescent="0.25">
      <c r="A34" s="2">
        <f t="shared" si="3"/>
        <v>46286</v>
      </c>
      <c r="B34" s="1">
        <f>VLOOKUP(A34,'[1]NIFTY VS RCG INTERS 3 X '!$A$2:$J$177,10,)</f>
        <v>0</v>
      </c>
      <c r="C34" s="1">
        <f t="shared" si="4"/>
        <v>0</v>
      </c>
      <c r="D34" s="1">
        <f t="shared" si="5"/>
        <v>0</v>
      </c>
      <c r="E34" s="1">
        <f t="shared" si="6"/>
        <v>0</v>
      </c>
    </row>
    <row r="35" spans="1:5" ht="15.75" customHeight="1" x14ac:dyDescent="0.25">
      <c r="A35" s="2">
        <f t="shared" si="3"/>
        <v>46287</v>
      </c>
      <c r="B35" s="1">
        <f>VLOOKUP(A35,'[1]NIFTY VS RCG INTERS 3 X '!$A$2:$J$177,10,)</f>
        <v>0</v>
      </c>
      <c r="C35" s="1">
        <f t="shared" si="4"/>
        <v>0</v>
      </c>
      <c r="D35" s="1">
        <f t="shared" si="5"/>
        <v>0</v>
      </c>
      <c r="E35" s="1">
        <f t="shared" si="6"/>
        <v>0</v>
      </c>
    </row>
    <row r="36" spans="1:5" ht="15.75" customHeight="1" x14ac:dyDescent="0.25">
      <c r="A36" s="2">
        <f t="shared" si="3"/>
        <v>46288</v>
      </c>
      <c r="B36" s="1">
        <f>VLOOKUP(A36,'[1]NIFTY VS RCG INTERS 3 X '!$A$2:$J$177,10,)</f>
        <v>0</v>
      </c>
      <c r="C36" s="1">
        <f t="shared" si="4"/>
        <v>0</v>
      </c>
      <c r="D36" s="1">
        <f t="shared" si="5"/>
        <v>0</v>
      </c>
      <c r="E36" s="1">
        <f t="shared" si="6"/>
        <v>0</v>
      </c>
    </row>
    <row r="37" spans="1:5" ht="15.75" customHeight="1" x14ac:dyDescent="0.25">
      <c r="A37" s="2">
        <f t="shared" si="3"/>
        <v>46289</v>
      </c>
      <c r="B37" s="1">
        <f>VLOOKUP(A37,'[1]NIFTY VS RCG INTERS 3 X '!$A$2:$J$177,10,)</f>
        <v>0</v>
      </c>
      <c r="C37" s="1">
        <f t="shared" si="4"/>
        <v>0</v>
      </c>
      <c r="D37" s="1">
        <f t="shared" si="5"/>
        <v>0</v>
      </c>
      <c r="E37" s="1">
        <f t="shared" si="6"/>
        <v>0</v>
      </c>
    </row>
    <row r="38" spans="1:5" ht="15.75" customHeight="1" x14ac:dyDescent="0.25">
      <c r="A38" s="2">
        <f t="shared" si="3"/>
        <v>46290</v>
      </c>
      <c r="B38" s="1">
        <f>VLOOKUP(A38,'[1]NIFTY VS RCG INTERS 3 X '!$A$2:$J$177,10,)</f>
        <v>0</v>
      </c>
      <c r="C38" s="1">
        <f t="shared" si="4"/>
        <v>0</v>
      </c>
      <c r="D38" s="1">
        <f t="shared" si="5"/>
        <v>0</v>
      </c>
      <c r="E38" s="1">
        <f t="shared" si="6"/>
        <v>0</v>
      </c>
    </row>
    <row r="39" spans="1:5" ht="15.75" customHeight="1" x14ac:dyDescent="0.25">
      <c r="A39" s="2">
        <f t="shared" si="3"/>
        <v>46293</v>
      </c>
      <c r="B39" s="1">
        <f>VLOOKUP(A39,'[1]NIFTY VS RCG INTERS 3 X '!$A$2:$J$177,10,)</f>
        <v>0</v>
      </c>
      <c r="C39" s="1">
        <f t="shared" si="4"/>
        <v>0</v>
      </c>
      <c r="D39" s="1">
        <f t="shared" si="5"/>
        <v>0</v>
      </c>
      <c r="E39" s="1">
        <f t="shared" si="6"/>
        <v>0</v>
      </c>
    </row>
    <row r="40" spans="1:5" ht="15.75" customHeight="1" x14ac:dyDescent="0.25">
      <c r="A40" s="2">
        <f t="shared" si="3"/>
        <v>46294</v>
      </c>
      <c r="B40" s="1">
        <f>VLOOKUP(A40,'[1]NIFTY VS RCG INTERS 3 X '!$A$2:$J$177,10,)</f>
        <v>0</v>
      </c>
      <c r="C40" s="1">
        <f t="shared" si="4"/>
        <v>0</v>
      </c>
      <c r="D40" s="1">
        <f t="shared" si="5"/>
        <v>0</v>
      </c>
      <c r="E40" s="1">
        <f t="shared" si="6"/>
        <v>0</v>
      </c>
    </row>
    <row r="41" spans="1:5" ht="15.75" customHeight="1" x14ac:dyDescent="0.25">
      <c r="A41" s="2">
        <f t="shared" si="3"/>
        <v>46295</v>
      </c>
      <c r="B41" s="1">
        <f>VLOOKUP(A41,'[1]NIFTY VS RCG INTERS 3 X '!$A$2:$J$177,10,)</f>
        <v>0</v>
      </c>
      <c r="C41" s="1">
        <f t="shared" si="4"/>
        <v>0</v>
      </c>
      <c r="D41" s="1">
        <f t="shared" si="5"/>
        <v>0</v>
      </c>
      <c r="E41" s="1">
        <f t="shared" si="6"/>
        <v>0</v>
      </c>
    </row>
    <row r="42" spans="1:5" ht="15.75" customHeight="1" x14ac:dyDescent="0.25">
      <c r="A42" s="2">
        <f t="shared" si="3"/>
        <v>46296</v>
      </c>
      <c r="B42" s="1">
        <f>VLOOKUP(A42,'[1]NIFTY VS RCG INTERS 3 X '!$A$2:$J$177,10,)</f>
        <v>0</v>
      </c>
      <c r="C42" s="1">
        <f t="shared" si="4"/>
        <v>0</v>
      </c>
      <c r="D42" s="1">
        <f t="shared" si="5"/>
        <v>0</v>
      </c>
      <c r="E42" s="1">
        <f t="shared" si="6"/>
        <v>0</v>
      </c>
    </row>
    <row r="43" spans="1:5" ht="15.75" customHeight="1" x14ac:dyDescent="0.25">
      <c r="A43" s="2">
        <f t="shared" si="3"/>
        <v>46297</v>
      </c>
      <c r="B43" s="1">
        <f>VLOOKUP(A43,'[1]NIFTY VS RCG INTERS 3 X '!$A$2:$J$177,10,)</f>
        <v>0</v>
      </c>
      <c r="C43" s="1">
        <f t="shared" si="4"/>
        <v>0</v>
      </c>
      <c r="D43" s="1">
        <f t="shared" si="5"/>
        <v>0</v>
      </c>
      <c r="E43" s="1">
        <f t="shared" si="6"/>
        <v>0</v>
      </c>
    </row>
    <row r="44" spans="1:5" ht="15.75" customHeight="1" x14ac:dyDescent="0.25">
      <c r="A44" s="2">
        <f t="shared" si="3"/>
        <v>46300</v>
      </c>
      <c r="B44" s="1">
        <f>VLOOKUP(A44,'[1]NIFTY VS RCG INTERS 3 X '!$A$2:$J$177,10,)</f>
        <v>0</v>
      </c>
      <c r="C44" s="1">
        <f t="shared" si="4"/>
        <v>0</v>
      </c>
      <c r="D44" s="1">
        <f t="shared" si="5"/>
        <v>0</v>
      </c>
      <c r="E44" s="1">
        <f t="shared" si="6"/>
        <v>0</v>
      </c>
    </row>
    <row r="45" spans="1:5" ht="15.75" customHeight="1" x14ac:dyDescent="0.25">
      <c r="A45" s="2">
        <f t="shared" si="3"/>
        <v>46301</v>
      </c>
      <c r="B45" s="1">
        <f>VLOOKUP(A45,'[1]NIFTY VS RCG INTERS 3 X '!$A$2:$J$177,10,)</f>
        <v>0</v>
      </c>
      <c r="C45" s="1">
        <f t="shared" si="4"/>
        <v>0</v>
      </c>
      <c r="D45" s="1">
        <f t="shared" si="5"/>
        <v>0</v>
      </c>
      <c r="E45" s="1">
        <f t="shared" si="6"/>
        <v>0</v>
      </c>
    </row>
    <row r="46" spans="1:5" ht="15.75" customHeight="1" x14ac:dyDescent="0.25">
      <c r="A46" s="2">
        <f t="shared" si="3"/>
        <v>46302</v>
      </c>
      <c r="B46" s="1">
        <f>VLOOKUP(A46,'[1]NIFTY VS RCG INTERS 3 X '!$A$2:$J$177,10,)</f>
        <v>0</v>
      </c>
      <c r="C46" s="1">
        <f t="shared" si="4"/>
        <v>0</v>
      </c>
      <c r="D46" s="1">
        <f t="shared" si="5"/>
        <v>0</v>
      </c>
      <c r="E46" s="1">
        <f t="shared" si="6"/>
        <v>0</v>
      </c>
    </row>
    <row r="47" spans="1:5" ht="15.75" customHeight="1" x14ac:dyDescent="0.25">
      <c r="A47" s="2">
        <f t="shared" si="3"/>
        <v>46303</v>
      </c>
      <c r="B47" s="1">
        <f>VLOOKUP(A47,'[1]NIFTY VS RCG INTERS 3 X '!$A$2:$J$177,10,)</f>
        <v>0</v>
      </c>
      <c r="C47" s="1">
        <f t="shared" si="4"/>
        <v>0</v>
      </c>
      <c r="D47" s="1">
        <f t="shared" si="5"/>
        <v>0</v>
      </c>
      <c r="E47" s="1">
        <f t="shared" si="6"/>
        <v>0</v>
      </c>
    </row>
    <row r="48" spans="1:5" ht="15.75" customHeight="1" x14ac:dyDescent="0.25">
      <c r="A48" s="2">
        <f t="shared" si="3"/>
        <v>46304</v>
      </c>
      <c r="B48" s="1">
        <f>VLOOKUP(A48,'[1]NIFTY VS RCG INTERS 3 X '!$A$2:$J$177,10,)</f>
        <v>0</v>
      </c>
      <c r="C48" s="1">
        <f t="shared" si="4"/>
        <v>0</v>
      </c>
      <c r="D48" s="1">
        <f t="shared" si="5"/>
        <v>0</v>
      </c>
      <c r="E48" s="1">
        <f t="shared" si="6"/>
        <v>0</v>
      </c>
    </row>
    <row r="49" spans="1:5" ht="15.75" customHeight="1" x14ac:dyDescent="0.25">
      <c r="A49" s="2">
        <f t="shared" si="3"/>
        <v>46307</v>
      </c>
      <c r="B49" s="1">
        <f>VLOOKUP(A49,'[1]NIFTY VS RCG INTERS 3 X '!$A$2:$J$177,10,)</f>
        <v>0</v>
      </c>
      <c r="C49" s="1">
        <f t="shared" si="4"/>
        <v>0</v>
      </c>
      <c r="D49" s="1">
        <f t="shared" si="5"/>
        <v>0</v>
      </c>
      <c r="E49" s="1">
        <f t="shared" si="6"/>
        <v>0</v>
      </c>
    </row>
    <row r="50" spans="1:5" ht="15.75" customHeight="1" x14ac:dyDescent="0.25">
      <c r="A50" s="2">
        <f t="shared" si="3"/>
        <v>46308</v>
      </c>
      <c r="B50" s="1">
        <f>VLOOKUP(A50,'[1]NIFTY VS RCG INTERS 3 X '!$A$2:$J$177,10,)</f>
        <v>0</v>
      </c>
      <c r="C50" s="1">
        <f t="shared" si="4"/>
        <v>0</v>
      </c>
      <c r="D50" s="1">
        <f t="shared" si="5"/>
        <v>0</v>
      </c>
      <c r="E50" s="1">
        <f t="shared" si="6"/>
        <v>0</v>
      </c>
    </row>
    <row r="51" spans="1:5" ht="15.75" customHeight="1" x14ac:dyDescent="0.25">
      <c r="A51" s="2">
        <f t="shared" si="3"/>
        <v>46309</v>
      </c>
      <c r="B51" s="1" t="e">
        <f>VLOOKUP(A51,'[1]NIFTY VS RCG INTERS 3 X '!$A$2:$J$177,10,)</f>
        <v>#N/A</v>
      </c>
      <c r="C51" s="1" t="e">
        <f t="shared" si="4"/>
        <v>#N/A</v>
      </c>
      <c r="D51" s="1" t="e">
        <f t="shared" si="5"/>
        <v>#N/A</v>
      </c>
      <c r="E51" s="1" t="e">
        <f t="shared" si="6"/>
        <v>#N/A</v>
      </c>
    </row>
    <row r="52" spans="1:5" ht="15.75" customHeight="1" x14ac:dyDescent="0.25">
      <c r="A52" s="2">
        <f t="shared" si="3"/>
        <v>46310</v>
      </c>
      <c r="B52" s="1" t="e">
        <f>VLOOKUP(A52,'[1]NIFTY VS RCG INTERS 3 X '!$A$2:$J$177,10,)</f>
        <v>#N/A</v>
      </c>
      <c r="C52" s="1" t="e">
        <f t="shared" si="4"/>
        <v>#N/A</v>
      </c>
      <c r="D52" s="1" t="e">
        <f t="shared" si="5"/>
        <v>#N/A</v>
      </c>
      <c r="E52" s="1" t="e">
        <f t="shared" si="6"/>
        <v>#N/A</v>
      </c>
    </row>
    <row r="53" spans="1:5" ht="15.75" customHeight="1" x14ac:dyDescent="0.25">
      <c r="A53" s="2">
        <f t="shared" si="3"/>
        <v>46311</v>
      </c>
      <c r="B53" s="1" t="e">
        <f>VLOOKUP(A53,'[1]NIFTY VS RCG INTERS 3 X '!$A$2:$J$177,10,)</f>
        <v>#N/A</v>
      </c>
      <c r="C53" s="1" t="e">
        <f t="shared" si="4"/>
        <v>#N/A</v>
      </c>
      <c r="D53" s="1" t="e">
        <f t="shared" si="5"/>
        <v>#N/A</v>
      </c>
      <c r="E53" s="1" t="e">
        <f t="shared" si="6"/>
        <v>#N/A</v>
      </c>
    </row>
    <row r="54" spans="1:5" ht="15.75" customHeight="1" x14ac:dyDescent="0.25">
      <c r="A54" s="2">
        <f t="shared" si="3"/>
        <v>46314</v>
      </c>
      <c r="B54" s="1" t="e">
        <f>VLOOKUP(A54,'[1]NIFTY VS RCG INTERS 3 X '!$A$2:$J$177,10,)</f>
        <v>#N/A</v>
      </c>
      <c r="C54" s="1" t="e">
        <f t="shared" si="4"/>
        <v>#N/A</v>
      </c>
      <c r="D54" s="1" t="e">
        <f t="shared" si="5"/>
        <v>#N/A</v>
      </c>
      <c r="E54" s="1" t="e">
        <f t="shared" si="6"/>
        <v>#N/A</v>
      </c>
    </row>
    <row r="55" spans="1:5" ht="15.75" customHeight="1" x14ac:dyDescent="0.25">
      <c r="A55" s="2">
        <f t="shared" si="3"/>
        <v>46315</v>
      </c>
      <c r="B55" s="1" t="e">
        <f>VLOOKUP(A55,'[1]NIFTY VS RCG INTERS 3 X '!$A$2:$J$177,10,)</f>
        <v>#N/A</v>
      </c>
      <c r="C55" s="1" t="e">
        <f t="shared" si="4"/>
        <v>#N/A</v>
      </c>
      <c r="D55" s="1" t="e">
        <f t="shared" si="5"/>
        <v>#N/A</v>
      </c>
      <c r="E55" s="1" t="e">
        <f t="shared" si="6"/>
        <v>#N/A</v>
      </c>
    </row>
    <row r="56" spans="1:5" ht="15.75" customHeight="1" x14ac:dyDescent="0.25">
      <c r="A56" s="2">
        <f t="shared" si="3"/>
        <v>46316</v>
      </c>
      <c r="B56" s="1" t="e">
        <f>VLOOKUP(A56,'[1]NIFTY VS RCG INTERS 3 X '!$A$2:$J$177,10,)</f>
        <v>#N/A</v>
      </c>
      <c r="C56" s="1" t="e">
        <f t="shared" si="4"/>
        <v>#N/A</v>
      </c>
      <c r="D56" s="1" t="e">
        <f t="shared" si="5"/>
        <v>#N/A</v>
      </c>
      <c r="E56" s="1" t="e">
        <f t="shared" si="6"/>
        <v>#N/A</v>
      </c>
    </row>
    <row r="57" spans="1:5" ht="15.75" customHeight="1" x14ac:dyDescent="0.25">
      <c r="A57" s="2">
        <f t="shared" si="3"/>
        <v>46317</v>
      </c>
      <c r="B57" s="1" t="e">
        <f>VLOOKUP(A57,'[1]NIFTY VS RCG INTERS 3 X '!$A$2:$J$177,10,)</f>
        <v>#N/A</v>
      </c>
      <c r="C57" s="1" t="e">
        <f t="shared" si="4"/>
        <v>#N/A</v>
      </c>
      <c r="D57" s="1" t="e">
        <f t="shared" si="5"/>
        <v>#N/A</v>
      </c>
      <c r="E57" s="1" t="e">
        <f t="shared" si="6"/>
        <v>#N/A</v>
      </c>
    </row>
    <row r="58" spans="1:5" ht="15.75" customHeight="1" x14ac:dyDescent="0.25">
      <c r="A58" s="2">
        <f t="shared" si="3"/>
        <v>46318</v>
      </c>
      <c r="B58" s="1" t="e">
        <f>VLOOKUP(A58,'[1]NIFTY VS RCG INTERS 3 X '!$A$2:$J$177,10,)</f>
        <v>#N/A</v>
      </c>
      <c r="C58" s="1" t="e">
        <f t="shared" si="4"/>
        <v>#N/A</v>
      </c>
      <c r="D58" s="1" t="e">
        <f t="shared" si="5"/>
        <v>#N/A</v>
      </c>
      <c r="E58" s="1" t="e">
        <f t="shared" si="6"/>
        <v>#N/A</v>
      </c>
    </row>
    <row r="59" spans="1:5" ht="15.75" customHeight="1" x14ac:dyDescent="0.25">
      <c r="A59" s="2">
        <f t="shared" si="3"/>
        <v>46321</v>
      </c>
      <c r="B59" s="1" t="e">
        <f>VLOOKUP(A59,'[1]NIFTY VS RCG INTERS 3 X '!$A$2:$J$177,10,)</f>
        <v>#N/A</v>
      </c>
      <c r="C59" s="1" t="e">
        <f t="shared" si="4"/>
        <v>#N/A</v>
      </c>
      <c r="D59" s="1" t="e">
        <f t="shared" si="5"/>
        <v>#N/A</v>
      </c>
      <c r="E59" s="1" t="e">
        <f t="shared" si="6"/>
        <v>#N/A</v>
      </c>
    </row>
    <row r="60" spans="1:5" ht="15.75" customHeight="1" x14ac:dyDescent="0.25">
      <c r="A60" s="2">
        <f t="shared" si="3"/>
        <v>46322</v>
      </c>
      <c r="B60" s="1" t="e">
        <f>VLOOKUP(A60,'[1]NIFTY VS RCG INTERS 3 X '!$A$2:$J$177,10,)</f>
        <v>#N/A</v>
      </c>
      <c r="C60" s="1" t="e">
        <f t="shared" si="4"/>
        <v>#N/A</v>
      </c>
      <c r="D60" s="1" t="e">
        <f t="shared" si="5"/>
        <v>#N/A</v>
      </c>
      <c r="E60" s="1" t="e">
        <f t="shared" si="6"/>
        <v>#N/A</v>
      </c>
    </row>
    <row r="61" spans="1:5" ht="15.75" customHeight="1" x14ac:dyDescent="0.25">
      <c r="A61" s="2">
        <f t="shared" si="3"/>
        <v>46323</v>
      </c>
      <c r="B61" s="1" t="e">
        <f>VLOOKUP(A61,'[1]NIFTY VS RCG INTERS 3 X '!$A$2:$J$177,10,)</f>
        <v>#N/A</v>
      </c>
      <c r="C61" s="1" t="e">
        <f t="shared" si="4"/>
        <v>#N/A</v>
      </c>
      <c r="D61" s="1" t="e">
        <f t="shared" si="5"/>
        <v>#N/A</v>
      </c>
      <c r="E61" s="1" t="e">
        <f t="shared" si="6"/>
        <v>#N/A</v>
      </c>
    </row>
    <row r="62" spans="1:5" ht="15.75" customHeight="1" x14ac:dyDescent="0.25">
      <c r="A62" s="2">
        <f t="shared" si="3"/>
        <v>46324</v>
      </c>
      <c r="B62" s="1" t="e">
        <f>VLOOKUP(A62,'[1]NIFTY VS RCG INTERS 3 X '!$A$2:$J$177,10,)</f>
        <v>#N/A</v>
      </c>
      <c r="C62" s="1" t="e">
        <f t="shared" si="4"/>
        <v>#N/A</v>
      </c>
      <c r="D62" s="1" t="e">
        <f t="shared" si="5"/>
        <v>#N/A</v>
      </c>
      <c r="E62" s="1" t="e">
        <f t="shared" si="6"/>
        <v>#N/A</v>
      </c>
    </row>
    <row r="63" spans="1:5" ht="15.75" customHeight="1" x14ac:dyDescent="0.25">
      <c r="A63" s="2">
        <f t="shared" si="3"/>
        <v>46325</v>
      </c>
      <c r="B63" s="1" t="e">
        <f>VLOOKUP(A63,'[1]NIFTY VS RCG INTERS 3 X '!$A$2:$J$177,10,)</f>
        <v>#N/A</v>
      </c>
      <c r="C63" s="1" t="e">
        <f t="shared" si="4"/>
        <v>#N/A</v>
      </c>
      <c r="D63" s="1" t="e">
        <f t="shared" si="5"/>
        <v>#N/A</v>
      </c>
      <c r="E63" s="1" t="e">
        <f t="shared" si="6"/>
        <v>#N/A</v>
      </c>
    </row>
    <row r="64" spans="1:5" ht="15.75" customHeight="1" x14ac:dyDescent="0.25">
      <c r="A64" s="2">
        <f t="shared" si="3"/>
        <v>46328</v>
      </c>
      <c r="B64" s="1" t="e">
        <f>VLOOKUP(A64,'[1]NIFTY VS RCG INTERS 3 X '!$A$2:$J$177,10,)</f>
        <v>#N/A</v>
      </c>
      <c r="C64" s="1" t="e">
        <f t="shared" si="4"/>
        <v>#N/A</v>
      </c>
      <c r="D64" s="1" t="e">
        <f t="shared" si="5"/>
        <v>#N/A</v>
      </c>
      <c r="E64" s="1" t="e">
        <f t="shared" si="6"/>
        <v>#N/A</v>
      </c>
    </row>
    <row r="65" spans="1:5" ht="15.75" customHeight="1" x14ac:dyDescent="0.25">
      <c r="A65" s="2">
        <f t="shared" si="3"/>
        <v>46329</v>
      </c>
      <c r="B65" s="1" t="e">
        <f>VLOOKUP(A65,'[1]NIFTY VS RCG INTERS 3 X '!$A$2:$J$177,10,)</f>
        <v>#N/A</v>
      </c>
      <c r="C65" s="1" t="e">
        <f t="shared" si="4"/>
        <v>#N/A</v>
      </c>
      <c r="D65" s="1" t="e">
        <f t="shared" si="5"/>
        <v>#N/A</v>
      </c>
      <c r="E65" s="1" t="e">
        <f t="shared" si="6"/>
        <v>#N/A</v>
      </c>
    </row>
    <row r="66" spans="1:5" ht="15.75" customHeight="1" x14ac:dyDescent="0.25">
      <c r="A66" s="2">
        <f t="shared" si="3"/>
        <v>46330</v>
      </c>
      <c r="B66" s="1" t="e">
        <f>VLOOKUP(A66,'[1]NIFTY VS RCG INTERS 3 X '!$A$2:$J$177,10,)</f>
        <v>#N/A</v>
      </c>
      <c r="C66" s="1" t="e">
        <f t="shared" si="4"/>
        <v>#N/A</v>
      </c>
      <c r="D66" s="1" t="e">
        <f t="shared" si="5"/>
        <v>#N/A</v>
      </c>
      <c r="E66" s="1" t="e">
        <f t="shared" si="6"/>
        <v>#N/A</v>
      </c>
    </row>
    <row r="67" spans="1:5" ht="15.75" customHeight="1" x14ac:dyDescent="0.25">
      <c r="A67" s="2">
        <f t="shared" ref="A67:A79" si="7">WORKDAY(A66,1)</f>
        <v>46331</v>
      </c>
      <c r="B67" s="1" t="e">
        <f>VLOOKUP(A67,'[1]NIFTY VS RCG INTERS 3 X '!$A$2:$J$177,10,)</f>
        <v>#N/A</v>
      </c>
      <c r="C67" s="1" t="e">
        <f t="shared" si="4"/>
        <v>#N/A</v>
      </c>
      <c r="D67" s="1" t="e">
        <f t="shared" si="5"/>
        <v>#N/A</v>
      </c>
      <c r="E67" s="1" t="e">
        <f t="shared" si="6"/>
        <v>#N/A</v>
      </c>
    </row>
    <row r="68" spans="1:5" ht="15.75" customHeight="1" x14ac:dyDescent="0.25">
      <c r="A68" s="2">
        <f t="shared" si="7"/>
        <v>46332</v>
      </c>
      <c r="B68" s="1" t="e">
        <f>VLOOKUP(A68,'[1]NIFTY VS RCG INTERS 3 X '!$A$2:$J$177,10,)</f>
        <v>#N/A</v>
      </c>
      <c r="C68" s="1" t="e">
        <f t="shared" si="4"/>
        <v>#N/A</v>
      </c>
      <c r="D68" s="1" t="e">
        <f t="shared" si="5"/>
        <v>#N/A</v>
      </c>
      <c r="E68" s="1" t="e">
        <f t="shared" si="6"/>
        <v>#N/A</v>
      </c>
    </row>
    <row r="69" spans="1:5" ht="15.75" customHeight="1" x14ac:dyDescent="0.25">
      <c r="A69" s="2">
        <f t="shared" si="7"/>
        <v>46335</v>
      </c>
      <c r="B69" s="1" t="e">
        <f>VLOOKUP(A69,'[1]NIFTY VS RCG INTERS 3 X '!$A$2:$J$177,10,)</f>
        <v>#N/A</v>
      </c>
      <c r="C69" s="1" t="e">
        <f t="shared" si="4"/>
        <v>#N/A</v>
      </c>
      <c r="D69" s="1" t="e">
        <f t="shared" si="5"/>
        <v>#N/A</v>
      </c>
      <c r="E69" s="1" t="e">
        <f t="shared" si="6"/>
        <v>#N/A</v>
      </c>
    </row>
    <row r="70" spans="1:5" ht="15.75" customHeight="1" x14ac:dyDescent="0.25">
      <c r="A70" s="2">
        <f t="shared" si="7"/>
        <v>46336</v>
      </c>
      <c r="B70" s="1" t="e">
        <f>VLOOKUP(A70,'[1]NIFTY VS RCG INTERS 3 X '!$A$2:$J$177,10,)</f>
        <v>#N/A</v>
      </c>
      <c r="C70" s="1" t="e">
        <f t="shared" si="4"/>
        <v>#N/A</v>
      </c>
      <c r="D70" s="1" t="e">
        <f t="shared" si="5"/>
        <v>#N/A</v>
      </c>
      <c r="E70" s="1" t="e">
        <f t="shared" si="6"/>
        <v>#N/A</v>
      </c>
    </row>
    <row r="71" spans="1:5" ht="15.75" customHeight="1" x14ac:dyDescent="0.25">
      <c r="A71" s="2">
        <f t="shared" si="7"/>
        <v>46337</v>
      </c>
      <c r="B71" s="1" t="e">
        <f>VLOOKUP(A71,'[1]NIFTY VS RCG INTERS 3 X '!$A$2:$J$177,10,)</f>
        <v>#N/A</v>
      </c>
      <c r="C71" s="1" t="e">
        <f t="shared" si="4"/>
        <v>#N/A</v>
      </c>
      <c r="D71" s="1" t="e">
        <f t="shared" si="5"/>
        <v>#N/A</v>
      </c>
      <c r="E71" s="1" t="e">
        <f t="shared" si="6"/>
        <v>#N/A</v>
      </c>
    </row>
    <row r="72" spans="1:5" ht="15.75" customHeight="1" x14ac:dyDescent="0.25">
      <c r="A72" s="2">
        <f t="shared" si="7"/>
        <v>46338</v>
      </c>
      <c r="B72" s="1" t="e">
        <f>VLOOKUP(A72,'[1]NIFTY VS RCG INTERS 3 X '!$A$2:$J$177,10,)</f>
        <v>#N/A</v>
      </c>
      <c r="C72" s="1" t="e">
        <f t="shared" si="4"/>
        <v>#N/A</v>
      </c>
      <c r="D72" s="1" t="e">
        <f t="shared" si="5"/>
        <v>#N/A</v>
      </c>
      <c r="E72" s="1" t="e">
        <f t="shared" si="6"/>
        <v>#N/A</v>
      </c>
    </row>
    <row r="73" spans="1:5" ht="15.75" customHeight="1" x14ac:dyDescent="0.25">
      <c r="A73" s="2">
        <f t="shared" si="7"/>
        <v>46339</v>
      </c>
      <c r="B73" s="1" t="e">
        <f>VLOOKUP(A73,'[1]NIFTY VS RCG INTERS 3 X '!$A$2:$J$177,10,)</f>
        <v>#N/A</v>
      </c>
      <c r="C73" s="1" t="e">
        <f t="shared" ref="C73:C76" si="8">(B73)*10%</f>
        <v>#N/A</v>
      </c>
      <c r="D73" s="1" t="e">
        <f t="shared" ref="D73:D76" si="9">B73+C73</f>
        <v>#N/A</v>
      </c>
      <c r="E73" s="1" t="e">
        <f t="shared" ref="E73:E76" si="10">B73-C73</f>
        <v>#N/A</v>
      </c>
    </row>
    <row r="74" spans="1:5" ht="15.75" customHeight="1" x14ac:dyDescent="0.25">
      <c r="A74" s="2">
        <f t="shared" si="7"/>
        <v>46342</v>
      </c>
      <c r="B74" s="1" t="e">
        <f>VLOOKUP(A74,'[1]NIFTY VS RCG INTERS 3 X '!$A$2:$J$177,10,)</f>
        <v>#N/A</v>
      </c>
      <c r="C74" s="1" t="e">
        <f t="shared" si="8"/>
        <v>#N/A</v>
      </c>
      <c r="D74" s="1" t="e">
        <f t="shared" si="9"/>
        <v>#N/A</v>
      </c>
      <c r="E74" s="1" t="e">
        <f t="shared" si="10"/>
        <v>#N/A</v>
      </c>
    </row>
    <row r="75" spans="1:5" ht="15.75" customHeight="1" x14ac:dyDescent="0.25">
      <c r="A75" s="2">
        <f t="shared" si="7"/>
        <v>46343</v>
      </c>
      <c r="B75" s="1" t="e">
        <f>VLOOKUP(A75,'[1]NIFTY VS RCG INTERS 3 X '!$A$2:$J$177,10,)</f>
        <v>#N/A</v>
      </c>
      <c r="C75" s="1" t="e">
        <f t="shared" si="8"/>
        <v>#N/A</v>
      </c>
      <c r="D75" s="1" t="e">
        <f t="shared" si="9"/>
        <v>#N/A</v>
      </c>
      <c r="E75" s="1" t="e">
        <f t="shared" si="10"/>
        <v>#N/A</v>
      </c>
    </row>
    <row r="76" spans="1:5" ht="15.75" customHeight="1" x14ac:dyDescent="0.25">
      <c r="A76" s="2">
        <f t="shared" si="7"/>
        <v>46344</v>
      </c>
      <c r="B76" s="1" t="e">
        <f>VLOOKUP(A76,'[1]NIFTY VS RCG INTERS 3 X '!$A$2:$J$177,10,)</f>
        <v>#N/A</v>
      </c>
      <c r="C76" s="1" t="e">
        <f t="shared" si="8"/>
        <v>#N/A</v>
      </c>
      <c r="D76" s="1" t="e">
        <f t="shared" si="9"/>
        <v>#N/A</v>
      </c>
      <c r="E76" s="1" t="e">
        <f t="shared" si="10"/>
        <v>#N/A</v>
      </c>
    </row>
    <row r="77" spans="1:5" ht="15.75" customHeight="1" x14ac:dyDescent="0.25">
      <c r="A77" s="2">
        <f t="shared" si="7"/>
        <v>46345</v>
      </c>
    </row>
    <row r="78" spans="1:5" ht="15.75" customHeight="1" x14ac:dyDescent="0.25">
      <c r="A78" s="2">
        <f t="shared" si="7"/>
        <v>46346</v>
      </c>
    </row>
    <row r="79" spans="1:5" ht="15.75" customHeight="1" x14ac:dyDescent="0.25">
      <c r="A79" s="2">
        <f t="shared" si="7"/>
        <v>46349</v>
      </c>
    </row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vidit konkani</dc:creator>
  <cp:lastModifiedBy>RCG</cp:lastModifiedBy>
  <dcterms:created xsi:type="dcterms:W3CDTF">2026-06-11T05:00:05Z</dcterms:created>
  <dcterms:modified xsi:type="dcterms:W3CDTF">2026-08-18T05:00:58Z</dcterms:modified>
</cp:coreProperties>
</file>