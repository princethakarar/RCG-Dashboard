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DLL11706\DLL 11706\AX2246\"/>
    </mc:Choice>
  </mc:AlternateContent>
  <xr:revisionPtr revIDLastSave="0" documentId="13_ncr:1_{6A06BDFF-0355-4553-BF75-C0D6ADCB4A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ERY" sheetId="1" r:id="rId1"/>
    <sheet name="06-08-2026" sheetId="29" r:id="rId2"/>
    <sheet name="07-08-2026" sheetId="30" r:id="rId3"/>
    <sheet name="10-08-2026" sheetId="31" r:id="rId4"/>
    <sheet name="11-08-2026" sheetId="32" r:id="rId5"/>
    <sheet name="12-08-2026" sheetId="33" r:id="rId6"/>
    <sheet name="13-08-2026" sheetId="34" r:id="rId7"/>
    <sheet name="14-08-2026" sheetId="35" r:id="rId8"/>
    <sheet name="17-08-2026" sheetId="36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7" roundtripDataChecksum="n7XaJKHqSwcklkFJbVXjAux5mAvzL4PulnuQQyZq//4="/>
    </ext>
  </extLst>
</workbook>
</file>

<file path=xl/calcChain.xml><?xml version="1.0" encoding="utf-8"?>
<calcChain xmlns="http://schemas.openxmlformats.org/spreadsheetml/2006/main">
  <c r="D9" i="1" l="1"/>
  <c r="AQ2" i="32" l="1" a="1"/>
  <c r="AQ2" i="32" s="1"/>
  <c r="AP2" i="32" a="1"/>
  <c r="AP2" i="32" s="1"/>
  <c r="Z2" i="33" a="1"/>
  <c r="Z2" i="33" s="1"/>
  <c r="Y2" i="33" a="1"/>
  <c r="Y2" i="33" s="1"/>
  <c r="AA2" i="33" s="1"/>
  <c r="AB2" i="34" a="1"/>
  <c r="AB2" i="34" s="1"/>
  <c r="AA2" i="34" a="1"/>
  <c r="AA2" i="34" s="1"/>
  <c r="AC2" i="34" s="1"/>
  <c r="AB2" i="35" a="1"/>
  <c r="AB2" i="35" s="1"/>
  <c r="AA2" i="35" a="1"/>
  <c r="AA2" i="35" s="1"/>
  <c r="AC2" i="35" s="1"/>
  <c r="AB2" i="36" a="1"/>
  <c r="AB2" i="36" s="1"/>
  <c r="AA2" i="36" a="1"/>
  <c r="AA2" i="36" s="1"/>
  <c r="AC2" i="36" s="1"/>
  <c r="R3" i="36"/>
  <c r="R4" i="36"/>
  <c r="R5" i="36"/>
  <c r="R6" i="36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W2" i="36"/>
  <c r="V2" i="36"/>
  <c r="U2" i="36"/>
  <c r="T2" i="36"/>
  <c r="X2" i="36" s="1"/>
  <c r="S2" i="36"/>
  <c r="R2" i="36"/>
  <c r="R16" i="35"/>
  <c r="R15" i="35"/>
  <c r="R14" i="35"/>
  <c r="R13" i="35"/>
  <c r="R12" i="35"/>
  <c r="R11" i="35"/>
  <c r="R10" i="35"/>
  <c r="R9" i="35"/>
  <c r="R8" i="35"/>
  <c r="R7" i="35"/>
  <c r="R6" i="35"/>
  <c r="R5" i="35"/>
  <c r="R4" i="35"/>
  <c r="R3" i="35"/>
  <c r="R2" i="35"/>
  <c r="W2" i="35"/>
  <c r="Z2" i="35" s="1"/>
  <c r="V2" i="35"/>
  <c r="U2" i="35"/>
  <c r="T2" i="35"/>
  <c r="S2" i="35"/>
  <c r="R13" i="34"/>
  <c r="R12" i="34"/>
  <c r="R11" i="34"/>
  <c r="R10" i="34"/>
  <c r="R9" i="34"/>
  <c r="R8" i="34"/>
  <c r="R7" i="34"/>
  <c r="R6" i="34"/>
  <c r="R5" i="34"/>
  <c r="R4" i="34"/>
  <c r="R3" i="34"/>
  <c r="R2" i="34"/>
  <c r="S2" i="34"/>
  <c r="W2" i="34"/>
  <c r="V2" i="34"/>
  <c r="U2" i="34"/>
  <c r="T2" i="34"/>
  <c r="P17" i="33"/>
  <c r="P16" i="33"/>
  <c r="P15" i="33"/>
  <c r="P14" i="33"/>
  <c r="P13" i="33"/>
  <c r="P12" i="33"/>
  <c r="P11" i="33"/>
  <c r="P10" i="33"/>
  <c r="P9" i="33"/>
  <c r="P8" i="33"/>
  <c r="P7" i="33"/>
  <c r="P6" i="33"/>
  <c r="P5" i="33"/>
  <c r="P4" i="33"/>
  <c r="P3" i="33"/>
  <c r="P2" i="33"/>
  <c r="Q2" i="33"/>
  <c r="U2" i="33"/>
  <c r="S2" i="33"/>
  <c r="T2" i="33"/>
  <c r="R2" i="33"/>
  <c r="AH2" i="32"/>
  <c r="AL2" i="32"/>
  <c r="AK2" i="32"/>
  <c r="AJ2" i="32"/>
  <c r="AI2" i="32"/>
  <c r="AG15" i="32"/>
  <c r="AG14" i="32"/>
  <c r="AG13" i="32"/>
  <c r="AG12" i="32"/>
  <c r="AG11" i="32"/>
  <c r="AG10" i="32"/>
  <c r="AG9" i="32"/>
  <c r="AG8" i="32"/>
  <c r="AG7" i="32"/>
  <c r="AG6" i="32"/>
  <c r="AG5" i="32"/>
  <c r="AG4" i="32"/>
  <c r="AG3" i="32"/>
  <c r="AG2" i="32"/>
  <c r="G2" i="1"/>
  <c r="P3" i="29"/>
  <c r="P2" i="29"/>
  <c r="T5" i="29" a="1"/>
  <c r="T5" i="29" s="1"/>
  <c r="R5" i="29" a="1"/>
  <c r="R5" i="29" s="1"/>
  <c r="T4" i="29" a="1"/>
  <c r="T4" i="29" s="1"/>
  <c r="R4" i="29" a="1"/>
  <c r="R4" i="29" s="1"/>
  <c r="Z2" i="29"/>
  <c r="U5" i="29" s="1"/>
  <c r="Y2" i="29"/>
  <c r="U4" i="29" s="1"/>
  <c r="X2" i="29"/>
  <c r="S5" i="29" s="1"/>
  <c r="U2" i="29"/>
  <c r="T2" i="29"/>
  <c r="S2" i="29"/>
  <c r="W2" i="29" s="1"/>
  <c r="S4" i="29" s="1"/>
  <c r="R2" i="29"/>
  <c r="V2" i="29" s="1"/>
  <c r="Q2" i="29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  <c r="B4" i="1"/>
  <c r="B3" i="1"/>
  <c r="B2" i="1"/>
  <c r="A3" i="1"/>
  <c r="B42" i="1" a="1"/>
  <c r="B34" i="1" a="1"/>
  <c r="B21" i="1" a="1"/>
  <c r="B13" i="1" a="1"/>
  <c r="B20" i="1" a="1"/>
  <c r="B19" i="1" a="1"/>
  <c r="B35" i="1" a="1"/>
  <c r="B17" i="1" a="1"/>
  <c r="B15" i="1" a="1"/>
  <c r="B7" i="1" a="1"/>
  <c r="B31" i="1" a="1"/>
  <c r="B33" i="1" a="1"/>
  <c r="B12" i="1" a="1"/>
  <c r="B5" i="1" a="1"/>
  <c r="B37" i="1" a="1"/>
  <c r="B30" i="1" a="1"/>
  <c r="B36" i="1" a="1"/>
  <c r="B22" i="1" a="1"/>
  <c r="B24" i="1" a="1"/>
  <c r="B14" i="1" a="1"/>
  <c r="B18" i="1" a="1"/>
  <c r="B38" i="1" a="1"/>
  <c r="B29" i="1" a="1"/>
  <c r="B11" i="1" a="1"/>
  <c r="B6" i="1" a="1"/>
  <c r="B25" i="1" a="1"/>
  <c r="B41" i="1" a="1"/>
  <c r="B32" i="1" a="1"/>
  <c r="B27" i="1" a="1"/>
  <c r="B10" i="1" a="1"/>
  <c r="B28" i="1" a="1"/>
  <c r="B40" i="1" a="1"/>
  <c r="B39" i="1" a="1"/>
  <c r="B16" i="1" a="1"/>
  <c r="B9" i="1" a="1"/>
  <c r="B8" i="1" a="1"/>
  <c r="B23" i="1" a="1"/>
  <c r="B26" i="1" a="1"/>
  <c r="AR2" i="32" l="1"/>
  <c r="Y2" i="35"/>
  <c r="Z2" i="36"/>
  <c r="Y2" i="36"/>
  <c r="B15" i="1"/>
  <c r="B19" i="1"/>
  <c r="B11" i="1"/>
  <c r="B20" i="1"/>
  <c r="B12" i="1"/>
  <c r="B16" i="1"/>
  <c r="B9" i="1"/>
  <c r="B21" i="1"/>
  <c r="B13" i="1"/>
  <c r="B17" i="1"/>
  <c r="B10" i="1"/>
  <c r="B22" i="1"/>
  <c r="B14" i="1"/>
  <c r="B18" i="1"/>
  <c r="B8" i="1"/>
  <c r="B7" i="1"/>
  <c r="X2" i="34"/>
  <c r="X2" i="35"/>
  <c r="Y2" i="34"/>
  <c r="Z2" i="34"/>
  <c r="B23" i="1"/>
  <c r="C23" i="1" s="1"/>
  <c r="B27" i="1"/>
  <c r="B31" i="1"/>
  <c r="B35" i="1"/>
  <c r="B39" i="1"/>
  <c r="B24" i="1"/>
  <c r="B36" i="1"/>
  <c r="B25" i="1"/>
  <c r="B33" i="1"/>
  <c r="B41" i="1"/>
  <c r="B32" i="1"/>
  <c r="B29" i="1"/>
  <c r="B37" i="1"/>
  <c r="B28" i="1"/>
  <c r="B26" i="1"/>
  <c r="B30" i="1"/>
  <c r="B34" i="1"/>
  <c r="B42" i="1"/>
  <c r="B40" i="1"/>
  <c r="B38" i="1"/>
  <c r="B6" i="1"/>
  <c r="V2" i="33"/>
  <c r="X2" i="33"/>
  <c r="W2" i="33"/>
  <c r="B5" i="1"/>
  <c r="AO2" i="32"/>
  <c r="AM2" i="32"/>
  <c r="AN2" i="32"/>
  <c r="AA2" i="29"/>
  <c r="G6" i="1"/>
  <c r="C24" i="1" l="1"/>
  <c r="C22" i="1" l="1"/>
  <c r="C21" i="1" l="1"/>
  <c r="C20" i="1"/>
  <c r="C19" i="1"/>
  <c r="C18" i="1"/>
  <c r="C17" i="1"/>
  <c r="C16" i="1"/>
  <c r="C15" i="1"/>
  <c r="C14" i="1"/>
  <c r="C13" i="1"/>
  <c r="C12" i="1"/>
  <c r="C11" i="1"/>
  <c r="C10" i="1"/>
  <c r="C7" i="1"/>
  <c r="C6" i="1"/>
  <c r="A4" i="1"/>
  <c r="E4" i="1" s="1"/>
  <c r="C3" i="1"/>
  <c r="F3" i="1" s="1"/>
  <c r="A5" i="1" l="1"/>
  <c r="E5" i="1" s="1"/>
  <c r="E3" i="1"/>
  <c r="E2" i="1"/>
  <c r="C2" i="1"/>
  <c r="F2" i="1" s="1"/>
  <c r="C5" i="1"/>
  <c r="C9" i="1"/>
  <c r="C4" i="1"/>
  <c r="F4" i="1" s="1"/>
  <c r="C8" i="1"/>
  <c r="G5" i="1"/>
  <c r="F5" i="1" l="1"/>
  <c r="A6" i="1"/>
  <c r="F6" i="1" l="1"/>
  <c r="E6" i="1"/>
  <c r="A7" i="1"/>
  <c r="G7" i="1"/>
  <c r="E7" i="1" l="1"/>
  <c r="F7" i="1"/>
  <c r="A8" i="1"/>
  <c r="G8" i="1"/>
  <c r="E8" i="1" l="1"/>
  <c r="F8" i="1"/>
  <c r="A9" i="1"/>
  <c r="G9" i="1"/>
  <c r="E9" i="1" l="1"/>
  <c r="F9" i="1"/>
  <c r="A10" i="1"/>
  <c r="G10" i="1"/>
  <c r="E10" i="1" l="1"/>
  <c r="F10" i="1"/>
  <c r="A11" i="1"/>
  <c r="G11" i="1"/>
  <c r="E11" i="1" l="1"/>
  <c r="F11" i="1"/>
  <c r="A12" i="1"/>
  <c r="G12" i="1"/>
  <c r="E12" i="1" l="1"/>
  <c r="F12" i="1"/>
  <c r="A13" i="1"/>
  <c r="G13" i="1"/>
  <c r="E13" i="1" l="1"/>
  <c r="F13" i="1"/>
  <c r="A14" i="1"/>
  <c r="G14" i="1"/>
  <c r="E14" i="1" l="1"/>
  <c r="F14" i="1"/>
  <c r="A15" i="1"/>
  <c r="G15" i="1"/>
  <c r="E15" i="1" l="1"/>
  <c r="F15" i="1"/>
  <c r="A16" i="1"/>
  <c r="G16" i="1"/>
  <c r="A17" i="1" l="1"/>
  <c r="E16" i="1"/>
  <c r="F16" i="1"/>
  <c r="G17" i="1"/>
  <c r="E17" i="1" l="1"/>
  <c r="F17" i="1"/>
  <c r="A18" i="1"/>
  <c r="G18" i="1"/>
  <c r="E18" i="1" l="1"/>
  <c r="F18" i="1"/>
  <c r="A19" i="1"/>
  <c r="G19" i="1"/>
  <c r="A20" i="1" l="1"/>
  <c r="E19" i="1"/>
  <c r="F19" i="1"/>
  <c r="G20" i="1"/>
  <c r="A21" i="1" l="1"/>
  <c r="G21" i="1"/>
  <c r="A22" i="1" l="1"/>
  <c r="E20" i="1"/>
  <c r="F20" i="1"/>
  <c r="G22" i="1"/>
  <c r="E21" i="1" l="1"/>
  <c r="F21" i="1"/>
  <c r="G23" i="1"/>
  <c r="F22" i="1" l="1"/>
  <c r="E22" i="1"/>
  <c r="G24" i="1"/>
  <c r="E23" i="1" l="1"/>
  <c r="F23" i="1"/>
  <c r="E24" i="1" l="1"/>
  <c r="F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<sst xmlns="http://schemas.openxmlformats.org/spreadsheetml/2006/main" count="7487" uniqueCount="187">
  <si>
    <t>DATE</t>
  </si>
  <si>
    <t>QTY</t>
  </si>
  <si>
    <t>LOT</t>
  </si>
  <si>
    <t>P&amp;L DAILY</t>
  </si>
  <si>
    <t>P&amp;L PER QTY</t>
  </si>
  <si>
    <t>P&amp;L LOT</t>
  </si>
  <si>
    <t>POSITION CR/DR</t>
  </si>
  <si>
    <t>TOTAL PE BUY</t>
  </si>
  <si>
    <t>TOTAL PE SELL</t>
  </si>
  <si>
    <t>TOTAL CE BUY</t>
  </si>
  <si>
    <t xml:space="preserve">NET </t>
  </si>
  <si>
    <t>PE RATIO</t>
  </si>
  <si>
    <t>CE RATIO</t>
  </si>
  <si>
    <t>BuyQty</t>
  </si>
  <si>
    <t>NetQty</t>
  </si>
  <si>
    <t xml:space="preserve">TOTAL TRADED QTY TILL DATE </t>
  </si>
  <si>
    <t>TOTAL SELL PE</t>
  </si>
  <si>
    <t>TOTAL BUY PE</t>
  </si>
  <si>
    <t>TOTAL CE SELL</t>
  </si>
  <si>
    <t>NET</t>
  </si>
  <si>
    <t xml:space="preserve">TOTAL PE PREMIUM </t>
  </si>
  <si>
    <t xml:space="preserve">TOTAL CE PREMIUM </t>
  </si>
  <si>
    <t xml:space="preserve">NET PREMIUM  </t>
  </si>
  <si>
    <t xml:space="preserve">PE RISK </t>
  </si>
  <si>
    <t>CE RISK</t>
  </si>
  <si>
    <t>Scrip</t>
  </si>
  <si>
    <t>Name</t>
  </si>
  <si>
    <t>OpenQty</t>
  </si>
  <si>
    <t>OpenRate</t>
  </si>
  <si>
    <t>BQty</t>
  </si>
  <si>
    <t>BRate</t>
  </si>
  <si>
    <t>BAmount</t>
  </si>
  <si>
    <t>SQty</t>
  </si>
  <si>
    <t>SRate</t>
  </si>
  <si>
    <t>SAmount</t>
  </si>
  <si>
    <t>ClRate</t>
  </si>
  <si>
    <t>NQty</t>
  </si>
  <si>
    <t>NAmt</t>
  </si>
  <si>
    <t xml:space="preserve">IO CE NIFTY 11Aug2026 25000 </t>
  </si>
  <si>
    <t>NIFTY</t>
  </si>
  <si>
    <t xml:space="preserve">IO CE NIFTY 18Aug2026 24700 </t>
  </si>
  <si>
    <t xml:space="preserve">IO CE NIFTY 11Aug2026 24900 </t>
  </si>
  <si>
    <t xml:space="preserve">IO CE NIFTY 25Aug2026 24500 </t>
  </si>
  <si>
    <t xml:space="preserve">IO PE NIFTY 11Aug2026 24300 </t>
  </si>
  <si>
    <t xml:space="preserve">IO PE NIFTY 25Aug2026 23500 </t>
  </si>
  <si>
    <t xml:space="preserve">IO PE NIFTY 25Aug2026 24500 </t>
  </si>
  <si>
    <t xml:space="preserve">IO CE NIFTY 18Aug2026 25100 </t>
  </si>
  <si>
    <t xml:space="preserve">IO CE NIFTY 18Aug2026 25150 </t>
  </si>
  <si>
    <t xml:space="preserve">IO PE NIFTY 18Aug2026 24000 </t>
  </si>
  <si>
    <t xml:space="preserve">IO PE NIFTY 18Aug2026 24050 </t>
  </si>
  <si>
    <t>Account Id</t>
  </si>
  <si>
    <t>Exchg.Seg</t>
  </si>
  <si>
    <t>ProductType</t>
  </si>
  <si>
    <t>Symbol</t>
  </si>
  <si>
    <t>Expiry</t>
  </si>
  <si>
    <t>StrikePrice</t>
  </si>
  <si>
    <t>Option Type</t>
  </si>
  <si>
    <t>MarkToMarket</t>
  </si>
  <si>
    <t>LastTradePrice</t>
  </si>
  <si>
    <t>TradingSymbol</t>
  </si>
  <si>
    <t>BuyAvgPrice</t>
  </si>
  <si>
    <t>SellQty</t>
  </si>
  <si>
    <t>SellAvgPrice</t>
  </si>
  <si>
    <t>Actual Realized MTM</t>
  </si>
  <si>
    <t>BEP</t>
  </si>
  <si>
    <t>Square Off Context</t>
  </si>
  <si>
    <t>RealizedMarkToMarket</t>
  </si>
  <si>
    <t>UnrealizedMarkToMarket</t>
  </si>
  <si>
    <t>Indicator</t>
  </si>
  <si>
    <t>Actual BuyAvgPrice</t>
  </si>
  <si>
    <t>Actual SellAvgPrice</t>
  </si>
  <si>
    <t>Actual Buy Value</t>
  </si>
  <si>
    <t>Actual Sell Value</t>
  </si>
  <si>
    <t>Actual Mark To Market</t>
  </si>
  <si>
    <t>Actual Unrealized MTM</t>
  </si>
  <si>
    <t>SettlementType</t>
  </si>
  <si>
    <t>Lot Size</t>
  </si>
  <si>
    <t>Net Lots</t>
  </si>
  <si>
    <t>Buy Lots</t>
  </si>
  <si>
    <t>Sell Lots</t>
  </si>
  <si>
    <t>AX2246-JAINAM</t>
  </si>
  <si>
    <t>NSEFO</t>
  </si>
  <si>
    <t>NRML</t>
  </si>
  <si>
    <t>CE</t>
  </si>
  <si>
    <t>NIFTY 18AUG2026 CE 24500</t>
  </si>
  <si>
    <t>Excluded</t>
  </si>
  <si>
    <t>N</t>
  </si>
  <si>
    <t>NA</t>
  </si>
  <si>
    <t>PE</t>
  </si>
  <si>
    <t>NIFTY 18AUG2026 PE 24400</t>
  </si>
  <si>
    <t>NIFTY 18AUG2026 PE 24500</t>
  </si>
  <si>
    <t>NIFTY 25AUG2026 PE 24500</t>
  </si>
  <si>
    <t>NIFTY 18AUG2026 CE 25000</t>
  </si>
  <si>
    <t>NIFTY 18AUG2026 CE 24700</t>
  </si>
  <si>
    <t>NIFTY 25AUG2026 PE 24550</t>
  </si>
  <si>
    <t>NIFTY 18AUG2026 CE 25100</t>
  </si>
  <si>
    <t>NIFTY 18AUG2026 CE 25150</t>
  </si>
  <si>
    <t>NIFTY 25AUG2026 CE 24550</t>
  </si>
  <si>
    <t>NIFTY 25AUG2026 CE 24500</t>
  </si>
  <si>
    <t>NIFTY 18AUG2026 CE 24900</t>
  </si>
  <si>
    <t>NIFTY 18AUG2026 PE 24050</t>
  </si>
  <si>
    <t>NIFTY 18AUG2026 PE 24000</t>
  </si>
  <si>
    <t>Exchg. Seg</t>
  </si>
  <si>
    <t>Trading Symbol</t>
  </si>
  <si>
    <t>Product Type</t>
  </si>
  <si>
    <t>TradeStatus</t>
  </si>
  <si>
    <t>Buy/Sell</t>
  </si>
  <si>
    <t>Trade Qty</t>
  </si>
  <si>
    <t>Total Qty</t>
  </si>
  <si>
    <t>Trans. Time</t>
  </si>
  <si>
    <t>XTS Order No</t>
  </si>
  <si>
    <t>Order Type</t>
  </si>
  <si>
    <t>Price</t>
  </si>
  <si>
    <t>Trigger Price</t>
  </si>
  <si>
    <t>XTS Update Time</t>
  </si>
  <si>
    <t>Status</t>
  </si>
  <si>
    <t>Exchange Order No</t>
  </si>
  <si>
    <t>User Id</t>
  </si>
  <si>
    <t>StrategyName</t>
  </si>
  <si>
    <t>Instrument Name</t>
  </si>
  <si>
    <t>Order Source</t>
  </si>
  <si>
    <t>Modification of Remarks</t>
  </si>
  <si>
    <t>Market Type</t>
  </si>
  <si>
    <t>Pending Qty</t>
  </si>
  <si>
    <t>Order Expiry Date</t>
  </si>
  <si>
    <t>Average Price</t>
  </si>
  <si>
    <t>OrderAverageTradedValue</t>
  </si>
  <si>
    <t>Bracket OrderId</t>
  </si>
  <si>
    <t>BOLeg</t>
  </si>
  <si>
    <t>Reference XTS Order No</t>
  </si>
  <si>
    <t>AX2246</t>
  </si>
  <si>
    <t xml:space="preserve">NIFTY2681824900CE </t>
  </si>
  <si>
    <t>Original</t>
  </si>
  <si>
    <t>Buy</t>
  </si>
  <si>
    <t>Limit</t>
  </si>
  <si>
    <t>Filled</t>
  </si>
  <si>
    <t>OPTIDX</t>
  </si>
  <si>
    <t>XTS-CTCL</t>
  </si>
  <si>
    <t>Normal</t>
  </si>
  <si>
    <t>-</t>
  </si>
  <si>
    <t>PartiallyFilled</t>
  </si>
  <si>
    <t xml:space="preserve">NIFTY2681825000CE </t>
  </si>
  <si>
    <t>Sell</t>
  </si>
  <si>
    <t xml:space="preserve">NIFTY2681824050PE </t>
  </si>
  <si>
    <t xml:space="preserve">NIFTY26AUG24550PE </t>
  </si>
  <si>
    <t>ClientAPI</t>
  </si>
  <si>
    <t xml:space="preserve">NIFTY26AUG24550CE </t>
  </si>
  <si>
    <t xml:space="preserve">NIFTY26AUG24500CE </t>
  </si>
  <si>
    <t xml:space="preserve">NIFTY26AUG24500PE </t>
  </si>
  <si>
    <t xml:space="preserve">NIFTY2681824000PE </t>
  </si>
  <si>
    <t xml:space="preserve">NIFTY2681824400PE </t>
  </si>
  <si>
    <t xml:space="preserve">NIFTY2681824500CE </t>
  </si>
  <si>
    <t xml:space="preserve">NIFTY2681824700CE </t>
  </si>
  <si>
    <t>Market</t>
  </si>
  <si>
    <t xml:space="preserve">NIFTY2681825150CE </t>
  </si>
  <si>
    <t xml:space="preserve">NIFTY2681825100CE </t>
  </si>
  <si>
    <t xml:space="preserve">NIFTY2681824500PE </t>
  </si>
  <si>
    <t xml:space="preserve">NIFTY26AUG24450PE </t>
  </si>
  <si>
    <t xml:space="preserve">NIFTY26AUG24450CE </t>
  </si>
  <si>
    <t xml:space="preserve">NIFTY2681823950PE </t>
  </si>
  <si>
    <t xml:space="preserve">NIFTY26AUG24400PE </t>
  </si>
  <si>
    <t xml:space="preserve">NIFTY26AUG24400CE </t>
  </si>
  <si>
    <t xml:space="preserve">NIFTY2681823900PE </t>
  </si>
  <si>
    <t xml:space="preserve">NIFTY2681824750CE </t>
  </si>
  <si>
    <t xml:space="preserve">NIFTY26AUG24300PE </t>
  </si>
  <si>
    <t>buy value</t>
  </si>
  <si>
    <t>sell value</t>
  </si>
  <si>
    <t>buy</t>
  </si>
  <si>
    <t>sell</t>
  </si>
  <si>
    <t xml:space="preserve">NIFTY2681824150PE </t>
  </si>
  <si>
    <t>BuyValue</t>
  </si>
  <si>
    <t>SellValue</t>
  </si>
  <si>
    <t xml:space="preserve">NIFTY2681824200PE </t>
  </si>
  <si>
    <t xml:space="preserve">NIFTY2681824650CE </t>
  </si>
  <si>
    <t xml:space="preserve">NIFTY2681824250PE </t>
  </si>
  <si>
    <t xml:space="preserve">NIFTY2681824600CE </t>
  </si>
  <si>
    <t xml:space="preserve">NIFTY2681824100PE </t>
  </si>
  <si>
    <t xml:space="preserve">NIFTY26AUG23900PE </t>
  </si>
  <si>
    <t xml:space="preserve">NIFTY26AUG24800CE </t>
  </si>
  <si>
    <t xml:space="preserve">NIFTY26AUG24850CE </t>
  </si>
  <si>
    <t xml:space="preserve">NIFTY26AUG24350PE </t>
  </si>
  <si>
    <t xml:space="preserve">NIFTY26AUG24350CE </t>
  </si>
  <si>
    <t xml:space="preserve">NIFTY26AUG23800PE </t>
  </si>
  <si>
    <t xml:space="preserve">NIFTY26AUG24300CE </t>
  </si>
  <si>
    <t xml:space="preserve">NIFTY26AUG23850PE </t>
  </si>
  <si>
    <t xml:space="preserve">NIFTY2690124350PE </t>
  </si>
  <si>
    <t xml:space="preserve">NIFTY2690124400CE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</si>
</sst>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7">
    <font>
      <sz val="11"/>
      <color theme="1"/>
      <name val="Times New Roman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0"/>
      <color rgb="FF008000"/>
      <name val="Arimo"/>
    </font>
    <font>
      <sz val="11"/>
      <color theme="1"/>
      <name val="Times New Roman"/>
      <family val="1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right" vertical="top" wrapText="1"/>
    </xf>
    <xf numFmtId="15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right" vertical="top" wrapText="1"/>
    </xf>
    <xf numFmtId="0" fontId="5" fillId="0" borderId="2" xfId="0" applyFont="1" applyBorder="1" applyAlignment="1" applyProtection="1">
      <alignment horizontal="right" vertical="top" wrapText="1"/>
      <protection locked="0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 applyProtection="1">
      <alignment horizontal="left" vertical="top" wrapText="1"/>
      <protection locked="0"/>
    </xf>
    <xf numFmtId="164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AX2246\AX2246%20PERFORMANCE%20P&amp;L.xlsx" TargetMode="External"/><Relationship Id="rId1" Type="http://schemas.openxmlformats.org/officeDocument/2006/relationships/externalLinkPath" Target="AX2246%20PERFORMANCE%20P&amp;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G INTERS "/>
      <sheetName val="NIFTY VS RCG INTERS 3 X "/>
      <sheetName val="NIFTY VS RCG INTERS NET AMOUNT"/>
    </sheetNames>
    <sheetDataSet>
      <sheetData sheetId="0">
        <row r="2">
          <cell r="A2">
            <v>46240</v>
          </cell>
          <cell r="B2">
            <v>-3532</v>
          </cell>
        </row>
        <row r="3">
          <cell r="A3">
            <v>46241</v>
          </cell>
          <cell r="B3">
            <v>3176</v>
          </cell>
        </row>
        <row r="4">
          <cell r="A4">
            <v>46244</v>
          </cell>
          <cell r="B4">
            <v>-435</v>
          </cell>
        </row>
        <row r="5">
          <cell r="A5">
            <v>46245</v>
          </cell>
          <cell r="B5">
            <v>2810</v>
          </cell>
        </row>
        <row r="6">
          <cell r="A6">
            <v>46246</v>
          </cell>
          <cell r="B6">
            <v>-18635</v>
          </cell>
        </row>
        <row r="7">
          <cell r="A7">
            <v>46247</v>
          </cell>
          <cell r="B7">
            <v>-4148</v>
          </cell>
        </row>
        <row r="8">
          <cell r="A8">
            <v>46248</v>
          </cell>
          <cell r="B8">
            <v>31598</v>
          </cell>
        </row>
        <row r="9">
          <cell r="A9">
            <v>46251</v>
          </cell>
          <cell r="B9">
            <v>-2061</v>
          </cell>
        </row>
        <row r="10">
          <cell r="A10">
            <v>46252</v>
          </cell>
          <cell r="B10">
            <v>0</v>
          </cell>
        </row>
        <row r="11">
          <cell r="A11">
            <v>46253</v>
          </cell>
          <cell r="B11">
            <v>0</v>
          </cell>
        </row>
        <row r="12">
          <cell r="A12">
            <v>46254</v>
          </cell>
          <cell r="B12">
            <v>0</v>
          </cell>
        </row>
        <row r="13">
          <cell r="A13">
            <v>46255</v>
          </cell>
          <cell r="B13">
            <v>0</v>
          </cell>
        </row>
        <row r="14">
          <cell r="A14">
            <v>46258</v>
          </cell>
          <cell r="B14">
            <v>0</v>
          </cell>
        </row>
        <row r="15">
          <cell r="A15">
            <v>46259</v>
          </cell>
          <cell r="B15">
            <v>0</v>
          </cell>
        </row>
        <row r="16">
          <cell r="A16">
            <v>46260</v>
          </cell>
          <cell r="B16" t="str">
            <v/>
          </cell>
        </row>
        <row r="17">
          <cell r="A17">
            <v>46261</v>
          </cell>
          <cell r="B17" t="str">
            <v/>
          </cell>
        </row>
        <row r="18">
          <cell r="A18">
            <v>46262</v>
          </cell>
          <cell r="B18" t="str">
            <v/>
          </cell>
        </row>
        <row r="19">
          <cell r="A19">
            <v>46265</v>
          </cell>
          <cell r="B19" t="str">
            <v/>
          </cell>
        </row>
        <row r="20">
          <cell r="A20">
            <v>46266</v>
          </cell>
          <cell r="B20" t="str">
            <v/>
          </cell>
        </row>
        <row r="21">
          <cell r="A21">
            <v>46267</v>
          </cell>
          <cell r="B21">
            <v>0</v>
          </cell>
        </row>
        <row r="22">
          <cell r="A22">
            <v>46268</v>
          </cell>
          <cell r="B22">
            <v>0</v>
          </cell>
        </row>
        <row r="23">
          <cell r="A23">
            <v>46269</v>
          </cell>
          <cell r="B23">
            <v>0</v>
          </cell>
        </row>
        <row r="24">
          <cell r="A24">
            <v>46272</v>
          </cell>
          <cell r="B24">
            <v>0</v>
          </cell>
        </row>
        <row r="25">
          <cell r="A25">
            <v>46273</v>
          </cell>
          <cell r="B25">
            <v>0</v>
          </cell>
        </row>
        <row r="26">
          <cell r="A26">
            <v>46274</v>
          </cell>
          <cell r="B26">
            <v>0</v>
          </cell>
        </row>
        <row r="27">
          <cell r="A27">
            <v>46275</v>
          </cell>
          <cell r="B27">
            <v>0</v>
          </cell>
        </row>
        <row r="28">
          <cell r="A28">
            <v>46276</v>
          </cell>
          <cell r="B28">
            <v>0</v>
          </cell>
        </row>
        <row r="29">
          <cell r="A29">
            <v>46279</v>
          </cell>
          <cell r="B29">
            <v>0</v>
          </cell>
        </row>
        <row r="30">
          <cell r="A30">
            <v>46280</v>
          </cell>
          <cell r="B30">
            <v>0</v>
          </cell>
        </row>
        <row r="31">
          <cell r="A31">
            <v>46281</v>
          </cell>
          <cell r="B31">
            <v>0</v>
          </cell>
        </row>
        <row r="32">
          <cell r="A32">
            <v>46282</v>
          </cell>
          <cell r="B32">
            <v>0</v>
          </cell>
        </row>
        <row r="33">
          <cell r="A33">
            <v>46283</v>
          </cell>
          <cell r="B33">
            <v>0</v>
          </cell>
        </row>
        <row r="34">
          <cell r="A34">
            <v>46286</v>
          </cell>
          <cell r="B34">
            <v>0</v>
          </cell>
        </row>
        <row r="35">
          <cell r="A35">
            <v>46287</v>
          </cell>
          <cell r="B35">
            <v>0</v>
          </cell>
        </row>
        <row r="36">
          <cell r="A36">
            <v>46288</v>
          </cell>
          <cell r="B36">
            <v>0</v>
          </cell>
        </row>
        <row r="37">
          <cell r="A37">
            <v>46289</v>
          </cell>
          <cell r="B37">
            <v>0</v>
          </cell>
        </row>
        <row r="38">
          <cell r="A38">
            <v>46290</v>
          </cell>
          <cell r="B38">
            <v>0</v>
          </cell>
        </row>
        <row r="39">
          <cell r="A39">
            <v>46293</v>
          </cell>
          <cell r="B39">
            <v>0</v>
          </cell>
        </row>
        <row r="40">
          <cell r="A40">
            <v>46294</v>
          </cell>
          <cell r="B40">
            <v>0</v>
          </cell>
        </row>
        <row r="41">
          <cell r="A41">
            <v>46295</v>
          </cell>
          <cell r="B41">
            <v>0</v>
          </cell>
        </row>
        <row r="42">
          <cell r="A42">
            <v>46296</v>
          </cell>
          <cell r="B42">
            <v>0</v>
          </cell>
        </row>
        <row r="43">
          <cell r="A43">
            <v>46297</v>
          </cell>
          <cell r="B43">
            <v>0</v>
          </cell>
        </row>
        <row r="44">
          <cell r="A44">
            <v>46300</v>
          </cell>
          <cell r="B44">
            <v>0</v>
          </cell>
        </row>
        <row r="45">
          <cell r="A45">
            <v>46301</v>
          </cell>
          <cell r="B45">
            <v>0</v>
          </cell>
        </row>
        <row r="46">
          <cell r="A46">
            <v>46302</v>
          </cell>
          <cell r="B46">
            <v>0</v>
          </cell>
        </row>
        <row r="47">
          <cell r="A47">
            <v>46303</v>
          </cell>
          <cell r="B47">
            <v>0</v>
          </cell>
        </row>
        <row r="48">
          <cell r="A48">
            <v>46304</v>
          </cell>
          <cell r="B48">
            <v>0</v>
          </cell>
        </row>
        <row r="49">
          <cell r="A49">
            <v>46307</v>
          </cell>
          <cell r="B49">
            <v>0</v>
          </cell>
        </row>
        <row r="50">
          <cell r="A50">
            <v>46308</v>
          </cell>
          <cell r="B50">
            <v>0</v>
          </cell>
        </row>
        <row r="51">
          <cell r="A51">
            <v>46309</v>
          </cell>
          <cell r="B51">
            <v>0</v>
          </cell>
        </row>
        <row r="52">
          <cell r="A52">
            <v>46310</v>
          </cell>
          <cell r="B52">
            <v>0</v>
          </cell>
        </row>
        <row r="53">
          <cell r="A53">
            <v>46311</v>
          </cell>
          <cell r="B53">
            <v>0</v>
          </cell>
        </row>
        <row r="54">
          <cell r="A54">
            <v>46314</v>
          </cell>
          <cell r="B54">
            <v>0</v>
          </cell>
        </row>
        <row r="55">
          <cell r="A55">
            <v>46315</v>
          </cell>
          <cell r="B55">
            <v>0</v>
          </cell>
        </row>
        <row r="56">
          <cell r="A56">
            <v>46316</v>
          </cell>
          <cell r="B56">
            <v>0</v>
          </cell>
        </row>
        <row r="57">
          <cell r="A57">
            <v>46317</v>
          </cell>
          <cell r="B57">
            <v>0</v>
          </cell>
        </row>
        <row r="58">
          <cell r="A58">
            <v>46318</v>
          </cell>
          <cell r="B58">
            <v>0</v>
          </cell>
        </row>
        <row r="59">
          <cell r="A59">
            <v>46321</v>
          </cell>
          <cell r="B59">
            <v>0</v>
          </cell>
        </row>
        <row r="60">
          <cell r="A60">
            <v>46322</v>
          </cell>
          <cell r="B60">
            <v>0</v>
          </cell>
        </row>
        <row r="61">
          <cell r="A61">
            <v>46323</v>
          </cell>
          <cell r="B61">
            <v>0</v>
          </cell>
        </row>
        <row r="62">
          <cell r="A62">
            <v>46324</v>
          </cell>
          <cell r="B62">
            <v>0</v>
          </cell>
        </row>
        <row r="63">
          <cell r="A63">
            <v>46325</v>
          </cell>
          <cell r="B63">
            <v>0</v>
          </cell>
        </row>
        <row r="64">
          <cell r="A64">
            <v>46328</v>
          </cell>
          <cell r="B64">
            <v>0</v>
          </cell>
        </row>
        <row r="65">
          <cell r="A65">
            <v>46329</v>
          </cell>
          <cell r="B65">
            <v>0</v>
          </cell>
        </row>
        <row r="66">
          <cell r="A66">
            <v>46330</v>
          </cell>
          <cell r="B66">
            <v>0</v>
          </cell>
        </row>
        <row r="67">
          <cell r="A67">
            <v>46331</v>
          </cell>
          <cell r="B67">
            <v>0</v>
          </cell>
        </row>
        <row r="68">
          <cell r="A68">
            <v>46332</v>
          </cell>
          <cell r="B68">
            <v>0</v>
          </cell>
        </row>
        <row r="69">
          <cell r="A69">
            <v>46335</v>
          </cell>
          <cell r="B69">
            <v>0</v>
          </cell>
        </row>
        <row r="70">
          <cell r="A70">
            <v>46336</v>
          </cell>
          <cell r="B70">
            <v>0</v>
          </cell>
        </row>
        <row r="71">
          <cell r="A71">
            <v>46337</v>
          </cell>
          <cell r="B71">
            <v>0</v>
          </cell>
        </row>
        <row r="72">
          <cell r="A72">
            <v>46338</v>
          </cell>
          <cell r="B72">
            <v>0</v>
          </cell>
        </row>
        <row r="73">
          <cell r="A73">
            <v>46339</v>
          </cell>
          <cell r="B73">
            <v>0</v>
          </cell>
        </row>
        <row r="74">
          <cell r="A74">
            <v>46342</v>
          </cell>
          <cell r="B74">
            <v>0</v>
          </cell>
        </row>
        <row r="75">
          <cell r="A75">
            <v>46343</v>
          </cell>
          <cell r="B75">
            <v>0</v>
          </cell>
        </row>
        <row r="76">
          <cell r="A76">
            <v>46344</v>
          </cell>
          <cell r="B76">
            <v>0</v>
          </cell>
        </row>
        <row r="77">
          <cell r="A77">
            <v>46345</v>
          </cell>
          <cell r="B77">
            <v>0</v>
          </cell>
        </row>
        <row r="78">
          <cell r="A78">
            <v>46346</v>
          </cell>
          <cell r="B78">
            <v>0</v>
          </cell>
        </row>
        <row r="79">
          <cell r="A79">
            <v>46349</v>
          </cell>
          <cell r="B79">
            <v>0</v>
          </cell>
        </row>
        <row r="80">
          <cell r="A80">
            <v>46350</v>
          </cell>
          <cell r="B80">
            <v>0</v>
          </cell>
        </row>
        <row r="81">
          <cell r="A81">
            <v>46351</v>
          </cell>
          <cell r="B81">
            <v>0</v>
          </cell>
        </row>
        <row r="82">
          <cell r="A82">
            <v>46352</v>
          </cell>
          <cell r="B82">
            <v>0</v>
          </cell>
        </row>
        <row r="83">
          <cell r="A83">
            <v>46353</v>
          </cell>
          <cell r="B83">
            <v>0</v>
          </cell>
        </row>
        <row r="84">
          <cell r="A84">
            <v>46356</v>
          </cell>
          <cell r="B84">
            <v>0</v>
          </cell>
        </row>
        <row r="85">
          <cell r="A85">
            <v>46357</v>
          </cell>
          <cell r="B85">
            <v>0</v>
          </cell>
        </row>
        <row r="86">
          <cell r="A86">
            <v>46358</v>
          </cell>
          <cell r="B86">
            <v>0</v>
          </cell>
        </row>
        <row r="87">
          <cell r="A87">
            <v>46359</v>
          </cell>
          <cell r="B87">
            <v>0</v>
          </cell>
        </row>
        <row r="88">
          <cell r="A88">
            <v>46360</v>
          </cell>
          <cell r="B88" t="e">
            <v>#N/A</v>
          </cell>
        </row>
        <row r="89">
          <cell r="A89">
            <v>46363</v>
          </cell>
          <cell r="B89" t="e">
            <v>#N/A</v>
          </cell>
        </row>
        <row r="90">
          <cell r="A90">
            <v>46364</v>
          </cell>
          <cell r="B90" t="e">
            <v>#N/A</v>
          </cell>
        </row>
        <row r="91">
          <cell r="A91">
            <v>46365</v>
          </cell>
          <cell r="B91" t="e">
            <v>#N/A</v>
          </cell>
        </row>
        <row r="92">
          <cell r="A92">
            <v>46366</v>
          </cell>
          <cell r="B92" t="e">
            <v>#N/A</v>
          </cell>
        </row>
        <row r="93">
          <cell r="A93">
            <v>46367</v>
          </cell>
          <cell r="B93" t="e">
            <v>#N/A</v>
          </cell>
        </row>
        <row r="94">
          <cell r="A94">
            <v>46370</v>
          </cell>
          <cell r="B94" t="e">
            <v>#N/A</v>
          </cell>
        </row>
        <row r="95">
          <cell r="A95">
            <v>46371</v>
          </cell>
          <cell r="B95" t="e">
            <v>#N/A</v>
          </cell>
        </row>
        <row r="96">
          <cell r="A96">
            <v>46372</v>
          </cell>
          <cell r="B96" t="e">
            <v>#N/A</v>
          </cell>
        </row>
        <row r="97">
          <cell r="A97">
            <v>46373</v>
          </cell>
          <cell r="B97" t="e">
            <v>#N/A</v>
          </cell>
        </row>
        <row r="98">
          <cell r="A98">
            <v>46374</v>
          </cell>
          <cell r="B98" t="e">
            <v>#N/A</v>
          </cell>
        </row>
        <row r="99">
          <cell r="A99">
            <v>46377</v>
          </cell>
          <cell r="B99" t="e">
            <v>#N/A</v>
          </cell>
        </row>
        <row r="100">
          <cell r="A100">
            <v>46378</v>
          </cell>
          <cell r="B100" t="e">
            <v>#N/A</v>
          </cell>
        </row>
        <row r="101">
          <cell r="A101">
            <v>46379</v>
          </cell>
          <cell r="B101" t="e">
            <v>#N/A</v>
          </cell>
        </row>
        <row r="102">
          <cell r="A102">
            <v>46380</v>
          </cell>
          <cell r="B102" t="e">
            <v>#N/A</v>
          </cell>
        </row>
        <row r="103">
          <cell r="A103">
            <v>46381</v>
          </cell>
          <cell r="B103" t="e">
            <v>#N/A</v>
          </cell>
        </row>
        <row r="104">
          <cell r="A104">
            <v>46384</v>
          </cell>
          <cell r="B104" t="e">
            <v>#N/A</v>
          </cell>
        </row>
        <row r="105">
          <cell r="A105">
            <v>46385</v>
          </cell>
          <cell r="B105" t="e">
            <v>#N/A</v>
          </cell>
        </row>
        <row r="106">
          <cell r="A106">
            <v>46386</v>
          </cell>
          <cell r="B106" t="e">
            <v>#N/A</v>
          </cell>
        </row>
        <row r="107">
          <cell r="A107">
            <v>46387</v>
          </cell>
          <cell r="B107" t="e">
            <v>#N/A</v>
          </cell>
        </row>
        <row r="108">
          <cell r="A108">
            <v>46388</v>
          </cell>
          <cell r="B108" t="e">
            <v>#N/A</v>
          </cell>
        </row>
        <row r="109">
          <cell r="A109">
            <v>46391</v>
          </cell>
          <cell r="B109" t="e">
            <v>#N/A</v>
          </cell>
        </row>
        <row r="110">
          <cell r="A110">
            <v>46392</v>
          </cell>
          <cell r="B110" t="e">
            <v>#N/A</v>
          </cell>
        </row>
        <row r="111">
          <cell r="A111">
            <v>46393</v>
          </cell>
          <cell r="B111" t="e">
            <v>#N/A</v>
          </cell>
        </row>
        <row r="112">
          <cell r="A112">
            <v>46394</v>
          </cell>
          <cell r="B112" t="e">
            <v>#N/A</v>
          </cell>
        </row>
        <row r="113">
          <cell r="A113">
            <v>46395</v>
          </cell>
          <cell r="B113" t="e">
            <v>#N/A</v>
          </cell>
        </row>
        <row r="114">
          <cell r="A114">
            <v>46398</v>
          </cell>
          <cell r="B114" t="e">
            <v>#N/A</v>
          </cell>
        </row>
        <row r="115">
          <cell r="A115">
            <v>46399</v>
          </cell>
          <cell r="B115" t="e">
            <v>#N/A</v>
          </cell>
        </row>
        <row r="116">
          <cell r="A116">
            <v>46400</v>
          </cell>
          <cell r="B116" t="e">
            <v>#N/A</v>
          </cell>
        </row>
        <row r="117">
          <cell r="A117">
            <v>46401</v>
          </cell>
          <cell r="B117" t="e">
            <v>#N/A</v>
          </cell>
        </row>
        <row r="118">
          <cell r="A118">
            <v>46402</v>
          </cell>
          <cell r="B118" t="e">
            <v>#N/A</v>
          </cell>
        </row>
        <row r="119">
          <cell r="A119">
            <v>46405</v>
          </cell>
          <cell r="B119" t="e">
            <v>#N/A</v>
          </cell>
        </row>
        <row r="120">
          <cell r="A120">
            <v>46406</v>
          </cell>
          <cell r="B120" t="e">
            <v>#N/A</v>
          </cell>
        </row>
        <row r="121">
          <cell r="A121">
            <v>46407</v>
          </cell>
          <cell r="B121" t="e">
            <v>#N/A</v>
          </cell>
        </row>
        <row r="122">
          <cell r="A122"/>
          <cell r="B122" t="e">
            <v>#N/A</v>
          </cell>
        </row>
        <row r="123">
          <cell r="A123"/>
          <cell r="B123" t="e">
            <v>#N/A</v>
          </cell>
        </row>
        <row r="124">
          <cell r="A124"/>
          <cell r="B124" t="e">
            <v>#N/A</v>
          </cell>
        </row>
        <row r="125">
          <cell r="A125"/>
          <cell r="B125" t="e">
            <v>#N/A</v>
          </cell>
        </row>
        <row r="126">
          <cell r="A126"/>
          <cell r="B126" t="e">
            <v>#N/A</v>
          </cell>
        </row>
        <row r="127">
          <cell r="A127"/>
          <cell r="B127" t="e">
            <v>#N/A</v>
          </cell>
        </row>
        <row r="128">
          <cell r="A128"/>
          <cell r="B128" t="e">
            <v>#N/A</v>
          </cell>
        </row>
        <row r="129">
          <cell r="A129"/>
          <cell r="B129" t="e">
            <v>#N/A</v>
          </cell>
        </row>
        <row r="130">
          <cell r="A130"/>
          <cell r="B130" t="e">
            <v>#N/A</v>
          </cell>
        </row>
        <row r="131">
          <cell r="A131"/>
          <cell r="B131" t="e">
            <v>#N/A</v>
          </cell>
        </row>
        <row r="132">
          <cell r="A132"/>
          <cell r="B132" t="e">
            <v>#N/A</v>
          </cell>
        </row>
        <row r="133">
          <cell r="A133"/>
          <cell r="B133" t="e">
            <v>#N/A</v>
          </cell>
        </row>
        <row r="134">
          <cell r="A134"/>
          <cell r="B134" t="e">
            <v>#N/A</v>
          </cell>
        </row>
        <row r="135">
          <cell r="A135"/>
          <cell r="B135" t="e">
            <v>#N/A</v>
          </cell>
        </row>
        <row r="136">
          <cell r="A136"/>
          <cell r="B136" t="e">
            <v>#N/A</v>
          </cell>
        </row>
        <row r="137">
          <cell r="A137"/>
          <cell r="B137" t="e">
            <v>#N/A</v>
          </cell>
        </row>
        <row r="138">
          <cell r="A138"/>
          <cell r="B138" t="e">
            <v>#N/A</v>
          </cell>
        </row>
        <row r="139">
          <cell r="A139"/>
          <cell r="B139" t="e">
            <v>#N/A</v>
          </cell>
        </row>
        <row r="140">
          <cell r="A140"/>
          <cell r="B140" t="e">
            <v>#N/A</v>
          </cell>
        </row>
        <row r="141">
          <cell r="A141"/>
          <cell r="B141" t="e">
            <v>#N/A</v>
          </cell>
        </row>
        <row r="142">
          <cell r="A142"/>
          <cell r="B142" t="e">
            <v>#N/A</v>
          </cell>
        </row>
        <row r="143">
          <cell r="A143"/>
          <cell r="B143"/>
        </row>
        <row r="144">
          <cell r="A144"/>
          <cell r="B144"/>
        </row>
        <row r="145">
          <cell r="A145"/>
          <cell r="B145"/>
        </row>
        <row r="146">
          <cell r="A146"/>
          <cell r="B146"/>
        </row>
        <row r="147">
          <cell r="A147"/>
          <cell r="B147"/>
        </row>
        <row r="148">
          <cell r="A148"/>
          <cell r="B148"/>
        </row>
        <row r="149">
          <cell r="A149"/>
          <cell r="B149"/>
        </row>
        <row r="150">
          <cell r="A150"/>
          <cell r="B150"/>
        </row>
        <row r="151">
          <cell r="A151"/>
          <cell r="B151"/>
        </row>
        <row r="152">
          <cell r="A152"/>
          <cell r="B152"/>
        </row>
        <row r="153">
          <cell r="A153"/>
          <cell r="B153"/>
        </row>
        <row r="154">
          <cell r="A154"/>
          <cell r="B154"/>
        </row>
        <row r="155">
          <cell r="A155"/>
          <cell r="B155"/>
        </row>
        <row r="156">
          <cell r="A156"/>
          <cell r="B156"/>
        </row>
        <row r="157">
          <cell r="A157"/>
          <cell r="B157"/>
        </row>
        <row r="158">
          <cell r="A158"/>
          <cell r="B158"/>
        </row>
        <row r="159">
          <cell r="A159"/>
          <cell r="B159"/>
        </row>
        <row r="160">
          <cell r="A160"/>
          <cell r="B160"/>
        </row>
        <row r="161">
          <cell r="A161"/>
          <cell r="B161"/>
        </row>
        <row r="162">
          <cell r="A162"/>
          <cell r="B162"/>
        </row>
        <row r="163">
          <cell r="A163"/>
          <cell r="B163"/>
        </row>
        <row r="164">
          <cell r="A164"/>
          <cell r="B164"/>
        </row>
        <row r="165">
          <cell r="A165"/>
          <cell r="B165"/>
        </row>
        <row r="166">
          <cell r="A166"/>
          <cell r="B166"/>
        </row>
        <row r="167">
          <cell r="A167"/>
          <cell r="B167"/>
        </row>
        <row r="168">
          <cell r="A168"/>
          <cell r="B168"/>
        </row>
        <row r="169">
          <cell r="A169"/>
          <cell r="B169"/>
        </row>
        <row r="170">
          <cell r="A170"/>
          <cell r="B170"/>
        </row>
        <row r="171">
          <cell r="A171"/>
          <cell r="B171"/>
        </row>
        <row r="172">
          <cell r="A172"/>
          <cell r="B172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tabSelected="1" workbookViewId="0">
      <selection activeCell="H10" sqref="H10"/>
    </sheetView>
  </sheetViews>
  <sheetFormatPr defaultColWidth="12.5703125" defaultRowHeight="15" customHeight="1"/>
  <cols>
    <col min="1" max="1" width="10.42578125" customWidth="1"/>
    <col min="2" max="2" width="11.42578125" customWidth="1"/>
    <col min="3" max="3" width="10.5703125" customWidth="1"/>
    <col min="4" max="4" width="15.28515625" customWidth="1"/>
    <col min="5" max="5" width="15" customWidth="1"/>
    <col min="6" max="6" width="10.140625" bestFit="1" customWidth="1"/>
    <col min="7" max="7" width="18.140625" customWidth="1"/>
    <col min="8" max="8" width="16.42578125" customWidth="1"/>
    <col min="9" max="9" width="16.85546875" customWidth="1"/>
    <col min="10" max="11" width="16.5703125" customWidth="1"/>
    <col min="12" max="12" width="6.7109375" customWidth="1"/>
    <col min="13" max="13" width="10.7109375" customWidth="1"/>
    <col min="14" max="14" width="10.85546875" customWidth="1"/>
    <col min="15" max="24" width="8.57031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3">
        <v>46240</v>
      </c>
      <c r="B2" s="4">
        <f>'06-08-2026'!I3+'06-08-2026'!F2</f>
        <v>260</v>
      </c>
      <c r="C2" s="4">
        <f t="shared" ref="C2:C24" si="0">B2/65</f>
        <v>4</v>
      </c>
      <c r="D2" s="4">
        <f>VLOOKUP(A2,'[1]RCG INTERS '!$A$2:$B$172,2,)</f>
        <v>-3532</v>
      </c>
      <c r="E2" s="5">
        <f t="shared" ref="E2:E21" si="1">IF(B2=0, IF(D2=0, 0, ""), D2/B2)</f>
        <v>-13.584615384615384</v>
      </c>
      <c r="F2" s="5">
        <f t="shared" ref="F2:F21" si="2">IF(C2=0, IF(D2=0, 0, ""), D2/C2)</f>
        <v>-883</v>
      </c>
      <c r="G2" s="4">
        <f>'06-08-2026'!P3-'06-08-2026'!P2</f>
        <v>19140.498</v>
      </c>
      <c r="H2" s="6"/>
      <c r="I2" s="7"/>
      <c r="J2" s="7"/>
      <c r="K2" s="7"/>
      <c r="L2" s="7"/>
      <c r="M2" s="7"/>
    </row>
    <row r="3" spans="1:14">
      <c r="A3" s="3">
        <f t="shared" ref="A3:A22" si="3">A2 + IF(WEEKDAY(A2)=6,3, IF(WEEKDAY(A2)=7,2, 1))</f>
        <v>46241</v>
      </c>
      <c r="B3" s="4">
        <f>'07-08-2026'!F2+'07-08-2026'!F3+'07-08-2026'!F4+'07-08-2026'!F5+'07-08-2026'!J6</f>
        <v>431.04230000000001</v>
      </c>
      <c r="C3" s="4">
        <f t="shared" si="0"/>
        <v>6.6314200000000003</v>
      </c>
      <c r="D3" s="4">
        <f>VLOOKUP(A3,'[1]RCG INTERS '!$A$2:$B$172,2,)</f>
        <v>3176</v>
      </c>
      <c r="E3" s="5">
        <f t="shared" si="1"/>
        <v>7.3681863705719834</v>
      </c>
      <c r="F3" s="5">
        <f t="shared" si="2"/>
        <v>478.93211408717889</v>
      </c>
      <c r="G3" s="4">
        <v>20140.498</v>
      </c>
    </row>
    <row r="4" spans="1:14">
      <c r="A4" s="3">
        <f t="shared" si="3"/>
        <v>46244</v>
      </c>
      <c r="B4" s="4">
        <f>'10-08-2026'!I2+'10-08-2026'!I3+'10-08-2026'!I6+'10-08-2026'!I9+'10-08-2026'!F4+'10-08-2026'!F5+'10-08-2026'!F7+'10-08-2026'!F8</f>
        <v>650</v>
      </c>
      <c r="C4" s="4">
        <f t="shared" si="0"/>
        <v>10</v>
      </c>
      <c r="D4" s="4">
        <f>VLOOKUP(A4,'[1]RCG INTERS '!$A$2:$B$172,2,)</f>
        <v>-435</v>
      </c>
      <c r="E4" s="5">
        <f t="shared" si="1"/>
        <v>-0.66923076923076918</v>
      </c>
      <c r="F4" s="5">
        <f t="shared" si="2"/>
        <v>-43.5</v>
      </c>
      <c r="G4" s="4">
        <v>27140.498</v>
      </c>
    </row>
    <row r="5" spans="1:14">
      <c r="A5" s="3">
        <f t="shared" si="3"/>
        <v>46245</v>
      </c>
      <c r="B5" s="4" cm="1">
        <f t="array" aca="1" ref="B5" ca="1">INDIRECT("'"&amp;TEXT(A5,"dd-mm-yyyy")&amp;"'!AH2")</f>
        <v>2405</v>
      </c>
      <c r="C5" s="4">
        <f t="shared" ca="1" si="0"/>
        <v>37</v>
      </c>
      <c r="D5" s="4">
        <f>VLOOKUP(A5,'[1]RCG INTERS '!$A$2:$B$172,2,)</f>
        <v>2810</v>
      </c>
      <c r="E5" s="5">
        <f t="shared" ca="1" si="1"/>
        <v>1.1683991683991684</v>
      </c>
      <c r="F5" s="5">
        <f t="shared" ca="1" si="2"/>
        <v>75.945945945945951</v>
      </c>
      <c r="G5" s="4">
        <f t="shared" ref="G5:G21" ca="1" si="4">IFERROR(INDEX(INDIRECT("'"&amp;TEXT(A5,"dd-mm-yyyy")&amp;"'!1:1048576"),2,MATCH("*NET PREMIUM*",INDIRECT("'"&amp;TEXT(A5,"dd-mm-yyyy")&amp;"'!1:1"),0)),"")</f>
        <v>62110.75</v>
      </c>
    </row>
    <row r="6" spans="1:14">
      <c r="A6" s="3">
        <f t="shared" si="3"/>
        <v>46246</v>
      </c>
      <c r="B6" s="4" cm="1">
        <f t="array" aca="1" ref="B6" ca="1">INDIRECT("'"&amp;TEXT(A6,"dd-mm-yyyy")&amp;"'!Q2")</f>
        <v>8970</v>
      </c>
      <c r="C6" s="4">
        <f t="shared" ca="1" si="0"/>
        <v>138</v>
      </c>
      <c r="D6" s="4">
        <f>VLOOKUP(A6,'[1]RCG INTERS '!$A$2:$B$172,2,)</f>
        <v>-18635</v>
      </c>
      <c r="E6" s="5">
        <f t="shared" ca="1" si="1"/>
        <v>-2.077480490523969</v>
      </c>
      <c r="F6" s="5">
        <f t="shared" ca="1" si="2"/>
        <v>-135.03623188405797</v>
      </c>
      <c r="G6" s="4">
        <f t="shared" ca="1" si="4"/>
        <v>131371.5</v>
      </c>
    </row>
    <row r="7" spans="1:14">
      <c r="A7" s="3">
        <f t="shared" si="3"/>
        <v>46247</v>
      </c>
      <c r="B7" s="4" cm="1">
        <f t="array" aca="1" ref="B7" ca="1">INDIRECT("'"&amp;TEXT(A7,"dd-mm-yyyy")&amp;"'!S2")</f>
        <v>9750</v>
      </c>
      <c r="C7" s="4">
        <f t="shared" ca="1" si="0"/>
        <v>150</v>
      </c>
      <c r="D7" s="4">
        <f>VLOOKUP(A7,'[1]RCG INTERS '!$A$2:$B$172,2,)</f>
        <v>-4148</v>
      </c>
      <c r="E7" s="5">
        <f t="shared" ca="1" si="1"/>
        <v>-0.42543589743589744</v>
      </c>
      <c r="F7" s="5">
        <f t="shared" ca="1" si="2"/>
        <v>-27.653333333333332</v>
      </c>
      <c r="G7" s="4">
        <f t="shared" ca="1" si="4"/>
        <v>166299.25</v>
      </c>
    </row>
    <row r="8" spans="1:14">
      <c r="A8" s="3">
        <f t="shared" si="3"/>
        <v>46248</v>
      </c>
      <c r="B8" s="4" cm="1">
        <f t="array" aca="1" ref="B8" ca="1">INDIRECT("'"&amp;TEXT(A8,"dd-mm-yyyy")&amp;"'!S2")</f>
        <v>13910</v>
      </c>
      <c r="C8" s="4">
        <f t="shared" ca="1" si="0"/>
        <v>214</v>
      </c>
      <c r="D8" s="4">
        <f>VLOOKUP(A8,'[1]RCG INTERS '!$A$2:$B$172,2,)</f>
        <v>31598</v>
      </c>
      <c r="E8" s="5">
        <f t="shared" ca="1" si="1"/>
        <v>2.2716031631919482</v>
      </c>
      <c r="F8" s="5">
        <f t="shared" ca="1" si="2"/>
        <v>147.65420560747663</v>
      </c>
      <c r="G8" s="4">
        <f t="shared" ca="1" si="4"/>
        <v>215501</v>
      </c>
    </row>
    <row r="9" spans="1:14">
      <c r="A9" s="3">
        <f t="shared" si="3"/>
        <v>46251</v>
      </c>
      <c r="B9" s="4" cm="1">
        <f t="array" aca="1" ref="B9" ca="1">INDIRECT("'"&amp;TEXT(A9,"dd-mm-yyyy")&amp;"'!S2")</f>
        <v>16640</v>
      </c>
      <c r="C9" s="4">
        <f t="shared" ca="1" si="0"/>
        <v>256</v>
      </c>
      <c r="D9" s="4">
        <f>VLOOKUP(A9,'[1]RCG INTERS '!$A$2:$B$172,2,)</f>
        <v>-2061</v>
      </c>
      <c r="E9" s="5">
        <f t="shared" ca="1" si="1"/>
        <v>-0.12385817307692308</v>
      </c>
      <c r="F9" s="5">
        <f t="shared" ca="1" si="2"/>
        <v>-8.05078125</v>
      </c>
      <c r="G9" s="4">
        <f t="shared" ca="1" si="4"/>
        <v>225712.5</v>
      </c>
    </row>
    <row r="10" spans="1:14">
      <c r="A10" s="3">
        <f t="shared" si="3"/>
        <v>46252</v>
      </c>
      <c r="B10" s="4" t="e" cm="1">
        <f t="array" aca="1" ref="B10" ca="1">INDIRECT("'"&amp;TEXT(A10,"dd-mm-yyyy")&amp;"'!S2")</f>
        <v>#REF!</v>
      </c>
      <c r="C10" s="4" t="e">
        <f t="shared" ca="1" si="0"/>
        <v>#REF!</v>
      </c>
      <c r="D10" s="4">
        <f>VLOOKUP(A10,'[1]RCG INTERS '!$A$2:$B$172,2,)</f>
        <v>0</v>
      </c>
      <c r="E10" s="5" t="e">
        <f t="shared" ca="1" si="1"/>
        <v>#REF!</v>
      </c>
      <c r="F10" s="5" t="e">
        <f t="shared" ca="1" si="2"/>
        <v>#REF!</v>
      </c>
      <c r="G10" s="4" t="str">
        <f t="shared" ca="1" si="4"/>
        <v/>
      </c>
    </row>
    <row r="11" spans="1:14">
      <c r="A11" s="3">
        <f t="shared" si="3"/>
        <v>46253</v>
      </c>
      <c r="B11" s="4" t="e" cm="1">
        <f t="array" aca="1" ref="B11" ca="1">INDIRECT("'"&amp;TEXT(A11,"dd-mm-yyyy")&amp;"'!S2")</f>
        <v>#REF!</v>
      </c>
      <c r="C11" s="4" t="e">
        <f t="shared" ca="1" si="0"/>
        <v>#REF!</v>
      </c>
      <c r="D11" s="4">
        <f>VLOOKUP(A11,'[1]RCG INTERS '!$A$2:$B$172,2,)</f>
        <v>0</v>
      </c>
      <c r="E11" s="5" t="e">
        <f t="shared" ca="1" si="1"/>
        <v>#REF!</v>
      </c>
      <c r="F11" s="5" t="e">
        <f t="shared" ca="1" si="2"/>
        <v>#REF!</v>
      </c>
      <c r="G11" s="4" t="str">
        <f t="shared" ca="1" si="4"/>
        <v/>
      </c>
    </row>
    <row r="12" spans="1:14">
      <c r="A12" s="3">
        <f t="shared" si="3"/>
        <v>46254</v>
      </c>
      <c r="B12" s="4" t="e" cm="1">
        <f t="array" aca="1" ref="B12" ca="1">INDIRECT("'"&amp;TEXT(A12,"dd-mm-yyyy")&amp;"'!S2")</f>
        <v>#REF!</v>
      </c>
      <c r="C12" s="4" t="e">
        <f t="shared" ca="1" si="0"/>
        <v>#REF!</v>
      </c>
      <c r="D12" s="4">
        <f>VLOOKUP(A12,'[1]RCG INTERS '!$A$2:$B$172,2,)</f>
        <v>0</v>
      </c>
      <c r="E12" s="5" t="e">
        <f t="shared" ca="1" si="1"/>
        <v>#REF!</v>
      </c>
      <c r="F12" s="5" t="e">
        <f t="shared" ca="1" si="2"/>
        <v>#REF!</v>
      </c>
      <c r="G12" s="4" t="str">
        <f t="shared" ca="1" si="4"/>
        <v/>
      </c>
    </row>
    <row r="13" spans="1:14">
      <c r="A13" s="3">
        <f t="shared" si="3"/>
        <v>46255</v>
      </c>
      <c r="B13" s="4" t="e" cm="1">
        <f t="array" aca="1" ref="B13" ca="1">INDIRECT("'"&amp;TEXT(A13,"dd-mm-yyyy")&amp;"'!S2")</f>
        <v>#REF!</v>
      </c>
      <c r="C13" s="4" t="e">
        <f t="shared" ca="1" si="0"/>
        <v>#REF!</v>
      </c>
      <c r="D13" s="4">
        <f>VLOOKUP(A13,'[1]RCG INTERS '!$A$2:$B$172,2,)</f>
        <v>0</v>
      </c>
      <c r="E13" s="5" t="e">
        <f t="shared" ca="1" si="1"/>
        <v>#REF!</v>
      </c>
      <c r="F13" s="5" t="e">
        <f t="shared" ca="1" si="2"/>
        <v>#REF!</v>
      </c>
      <c r="G13" s="4" t="str">
        <f t="shared" ca="1" si="4"/>
        <v/>
      </c>
    </row>
    <row r="14" spans="1:14">
      <c r="A14" s="3">
        <f t="shared" si="3"/>
        <v>46258</v>
      </c>
      <c r="B14" s="4" t="e" cm="1">
        <f t="array" aca="1" ref="B14" ca="1">INDIRECT("'"&amp;TEXT(A14,"dd-mm-yyyy")&amp;"'!S2")</f>
        <v>#REF!</v>
      </c>
      <c r="C14" s="4" t="e">
        <f t="shared" ca="1" si="0"/>
        <v>#REF!</v>
      </c>
      <c r="D14" s="4">
        <f>VLOOKUP(A14,'[1]RCG INTERS '!$A$2:$B$172,2,)</f>
        <v>0</v>
      </c>
      <c r="E14" s="5" t="e">
        <f t="shared" ca="1" si="1"/>
        <v>#REF!</v>
      </c>
      <c r="F14" s="5" t="e">
        <f t="shared" ca="1" si="2"/>
        <v>#REF!</v>
      </c>
      <c r="G14" s="4" t="str">
        <f t="shared" ca="1" si="4"/>
        <v/>
      </c>
    </row>
    <row r="15" spans="1:14">
      <c r="A15" s="3">
        <f t="shared" si="3"/>
        <v>46259</v>
      </c>
      <c r="B15" s="4" t="e" cm="1">
        <f t="array" aca="1" ref="B15" ca="1">INDIRECT("'"&amp;TEXT(A15,"dd-mm-yyyy")&amp;"'!S2")</f>
        <v>#REF!</v>
      </c>
      <c r="C15" s="4" t="e">
        <f t="shared" ca="1" si="0"/>
        <v>#REF!</v>
      </c>
      <c r="D15" s="4">
        <f>VLOOKUP(A15,'[1]RCG INTERS '!$A$2:$B$172,2,)</f>
        <v>0</v>
      </c>
      <c r="E15" s="5" t="e">
        <f t="shared" ca="1" si="1"/>
        <v>#REF!</v>
      </c>
      <c r="F15" s="5" t="e">
        <f t="shared" ca="1" si="2"/>
        <v>#REF!</v>
      </c>
      <c r="G15" s="4" t="str">
        <f t="shared" ca="1" si="4"/>
        <v/>
      </c>
    </row>
    <row r="16" spans="1:14">
      <c r="A16" s="3">
        <f t="shared" si="3"/>
        <v>46260</v>
      </c>
      <c r="B16" s="4" t="e" cm="1">
        <f t="array" aca="1" ref="B16" ca="1">INDIRECT("'"&amp;TEXT(A16,"dd-mm-yyyy")&amp;"'!S2")</f>
        <v>#REF!</v>
      </c>
      <c r="C16" s="4" t="e">
        <f t="shared" ca="1" si="0"/>
        <v>#REF!</v>
      </c>
      <c r="D16" s="4" t="str">
        <f>VLOOKUP(A16,'[1]RCG INTERS '!$A$2:$B$172,2,)</f>
        <v/>
      </c>
      <c r="E16" s="5" t="e">
        <f t="shared" ca="1" si="1"/>
        <v>#REF!</v>
      </c>
      <c r="F16" s="5" t="e">
        <f t="shared" ca="1" si="2"/>
        <v>#REF!</v>
      </c>
      <c r="G16" s="4" t="str">
        <f t="shared" ca="1" si="4"/>
        <v/>
      </c>
    </row>
    <row r="17" spans="1:7">
      <c r="A17" s="3">
        <f t="shared" si="3"/>
        <v>46261</v>
      </c>
      <c r="B17" s="4" t="e" cm="1">
        <f t="array" aca="1" ref="B17" ca="1">INDIRECT("'"&amp;TEXT(A17,"dd-mm-yyyy")&amp;"'!S2")</f>
        <v>#REF!</v>
      </c>
      <c r="C17" s="4" t="e">
        <f t="shared" ca="1" si="0"/>
        <v>#REF!</v>
      </c>
      <c r="D17" s="4" t="str">
        <f>VLOOKUP(A17,'[1]RCG INTERS '!$A$2:$B$172,2,)</f>
        <v/>
      </c>
      <c r="E17" s="5" t="e">
        <f t="shared" ca="1" si="1"/>
        <v>#REF!</v>
      </c>
      <c r="F17" s="5" t="e">
        <f t="shared" ca="1" si="2"/>
        <v>#REF!</v>
      </c>
      <c r="G17" s="4" t="str">
        <f t="shared" ca="1" si="4"/>
        <v/>
      </c>
    </row>
    <row r="18" spans="1:7">
      <c r="A18" s="3">
        <f t="shared" si="3"/>
        <v>46262</v>
      </c>
      <c r="B18" s="4" t="e" cm="1">
        <f t="array" aca="1" ref="B18" ca="1">INDIRECT("'"&amp;TEXT(A18,"dd-mm-yyyy")&amp;"'!S2")</f>
        <v>#REF!</v>
      </c>
      <c r="C18" s="4" t="e">
        <f t="shared" ca="1" si="0"/>
        <v>#REF!</v>
      </c>
      <c r="D18" s="4" t="str">
        <f>VLOOKUP(A18,'[1]RCG INTERS '!$A$2:$B$172,2,)</f>
        <v/>
      </c>
      <c r="E18" s="5" t="e">
        <f t="shared" ca="1" si="1"/>
        <v>#REF!</v>
      </c>
      <c r="F18" s="5" t="e">
        <f t="shared" ca="1" si="2"/>
        <v>#REF!</v>
      </c>
      <c r="G18" s="4" t="str">
        <f t="shared" ca="1" si="4"/>
        <v/>
      </c>
    </row>
    <row r="19" spans="1:7">
      <c r="A19" s="3">
        <f t="shared" si="3"/>
        <v>46265</v>
      </c>
      <c r="B19" s="4" t="e" cm="1">
        <f t="array" aca="1" ref="B19" ca="1">INDIRECT("'"&amp;TEXT(A19,"dd-mm-yyyy")&amp;"'!S2")</f>
        <v>#REF!</v>
      </c>
      <c r="C19" s="4" t="e">
        <f t="shared" ca="1" si="0"/>
        <v>#REF!</v>
      </c>
      <c r="D19" s="4" t="str">
        <f>VLOOKUP(A19,'[1]RCG INTERS '!$A$2:$B$172,2,)</f>
        <v/>
      </c>
      <c r="E19" s="5" t="e">
        <f t="shared" ca="1" si="1"/>
        <v>#REF!</v>
      </c>
      <c r="F19" s="5" t="e">
        <f t="shared" ca="1" si="2"/>
        <v>#REF!</v>
      </c>
      <c r="G19" s="4" t="str">
        <f t="shared" ca="1" si="4"/>
        <v/>
      </c>
    </row>
    <row r="20" spans="1:7" ht="15.75" customHeight="1">
      <c r="A20" s="3">
        <f t="shared" si="3"/>
        <v>46266</v>
      </c>
      <c r="B20" s="4" t="e" cm="1">
        <f t="array" aca="1" ref="B20" ca="1">INDIRECT("'"&amp;TEXT(A20,"dd-mm-yyyy")&amp;"'!S2")</f>
        <v>#REF!</v>
      </c>
      <c r="C20" s="4" t="e">
        <f t="shared" ca="1" si="0"/>
        <v>#REF!</v>
      </c>
      <c r="D20" s="4" t="str">
        <f>VLOOKUP(A20,'[1]RCG INTERS '!$A$2:$B$172,2,)</f>
        <v/>
      </c>
      <c r="E20" s="5" t="e">
        <f t="shared" ca="1" si="1"/>
        <v>#REF!</v>
      </c>
      <c r="F20" s="5" t="e">
        <f t="shared" ca="1" si="2"/>
        <v>#REF!</v>
      </c>
      <c r="G20" s="4" t="str">
        <f t="shared" ca="1" si="4"/>
        <v/>
      </c>
    </row>
    <row r="21" spans="1:7" ht="15.75" customHeight="1">
      <c r="A21" s="3">
        <f t="shared" si="3"/>
        <v>46267</v>
      </c>
      <c r="B21" s="4" t="e" cm="1">
        <f t="array" aca="1" ref="B21" ca="1">INDIRECT("'"&amp;TEXT(A21,"dd-mm-yyyy")&amp;"'!S2")</f>
        <v>#REF!</v>
      </c>
      <c r="C21" s="4" t="e">
        <f t="shared" ca="1" si="0"/>
        <v>#REF!</v>
      </c>
      <c r="D21" s="4">
        <f>VLOOKUP(A21,'[1]RCG INTERS '!$A$2:$B$172,2,)</f>
        <v>0</v>
      </c>
      <c r="E21" s="5" t="e">
        <f t="shared" ca="1" si="1"/>
        <v>#REF!</v>
      </c>
      <c r="F21" s="5" t="e">
        <f t="shared" ca="1" si="2"/>
        <v>#REF!</v>
      </c>
      <c r="G21" s="4" t="str">
        <f t="shared" ca="1" si="4"/>
        <v/>
      </c>
    </row>
    <row r="22" spans="1:7" ht="15.75" customHeight="1">
      <c r="A22" s="3">
        <f t="shared" si="3"/>
        <v>46268</v>
      </c>
      <c r="B22" s="4" t="e" cm="1">
        <f t="array" aca="1" ref="B22" ca="1">INDIRECT("'"&amp;TEXT(A22,"dd-mm-yyyy")&amp;"'!S2")</f>
        <v>#REF!</v>
      </c>
      <c r="C22" s="4" t="e">
        <f t="shared" ca="1" si="0"/>
        <v>#REF!</v>
      </c>
      <c r="D22" s="4">
        <f>VLOOKUP(A22,'[1]RCG INTERS '!$A$2:$B$172,2,)</f>
        <v>0</v>
      </c>
      <c r="E22" s="5" t="e">
        <f t="shared" ref="E22" ca="1" si="5">IF(B22=0, IF(D22=0, 0, ""), D22/B22)</f>
        <v>#REF!</v>
      </c>
      <c r="F22" s="5" t="e">
        <f t="shared" ref="F22" ca="1" si="6">IF(C22=0, IF(D22=0, 0, ""), D22/C22)</f>
        <v>#REF!</v>
      </c>
      <c r="G22" s="4" t="str">
        <f t="shared" ref="G22" ca="1" si="7">IFERROR(INDEX(INDIRECT("'"&amp;TEXT(A22,"dd-mm-yyyy")&amp;"'!1:1048576"),2,MATCH("*NET PREMIUM*",INDIRECT("'"&amp;TEXT(A22,"dd-mm-yyyy")&amp;"'!1:1"),0)),"")</f>
        <v/>
      </c>
    </row>
    <row r="23" spans="1:7" ht="15.75" customHeight="1">
      <c r="A23" s="3"/>
      <c r="B23" s="4" t="e" cm="1">
        <f t="array" aca="1" ref="B23" ca="1">INDIRECT("'"&amp;TEXT(A23,"dd-mm-yyyy")&amp;"'!Q2")</f>
        <v>#REF!</v>
      </c>
      <c r="C23" s="4" t="e">
        <f t="shared" ca="1" si="0"/>
        <v>#REF!</v>
      </c>
      <c r="D23" s="4" t="e">
        <f>VLOOKUP(A23,'[1]RCG INTERS '!$A$2:$B$172,2,)</f>
        <v>#N/A</v>
      </c>
      <c r="E23" s="5" t="e">
        <f t="shared" ref="E23:E24" ca="1" si="8">IF(B23=0, IF(D23=0, 0, ""), D23/B23)</f>
        <v>#REF!</v>
      </c>
      <c r="F23" s="5" t="e">
        <f t="shared" ref="F23:F24" ca="1" si="9">IF(C23=0, IF(D23=0, 0, ""), D23/C23)</f>
        <v>#REF!</v>
      </c>
      <c r="G23" s="4" t="str">
        <f t="shared" ref="G23:G24" ca="1" si="10">IFERROR(INDEX(INDIRECT("'"&amp;TEXT(A23,"dd-mm-yyyy")&amp;"'!1:1048576"),2,MATCH("*NET PREMIUM*",INDIRECT("'"&amp;TEXT(A23,"dd-mm-yyyy")&amp;"'!1:1"),0)),"")</f>
        <v/>
      </c>
    </row>
    <row r="24" spans="1:7" ht="15.75" customHeight="1">
      <c r="A24" s="3"/>
      <c r="B24" s="4" t="e" cm="1">
        <f t="array" aca="1" ref="B24" ca="1">INDIRECT("'"&amp;TEXT(A24,"dd-mm-yyyy")&amp;"'!Q2")</f>
        <v>#REF!</v>
      </c>
      <c r="C24" s="4" t="e">
        <f t="shared" ca="1" si="0"/>
        <v>#REF!</v>
      </c>
      <c r="D24" s="4" t="e">
        <f>VLOOKUP(A24,'[1]RCG INTERS '!$A$2:$B$172,2,)</f>
        <v>#N/A</v>
      </c>
      <c r="E24" s="5" t="e">
        <f t="shared" ca="1" si="8"/>
        <v>#REF!</v>
      </c>
      <c r="F24" s="5" t="e">
        <f t="shared" ca="1" si="9"/>
        <v>#REF!</v>
      </c>
      <c r="G24" s="4" t="str">
        <f t="shared" ca="1" si="10"/>
        <v/>
      </c>
    </row>
    <row r="25" spans="1:7" ht="15.75" customHeight="1">
      <c r="B25" s="4" t="e" cm="1">
        <f t="array" aca="1" ref="B25" ca="1">INDIRECT("'"&amp;TEXT(A25,"dd-mm-yyyy")&amp;"'!Q2")</f>
        <v>#REF!</v>
      </c>
      <c r="D25" s="4" t="e">
        <f>VLOOKUP(A25,'[1]RCG INTERS '!$A$2:$B$172,2,)</f>
        <v>#N/A</v>
      </c>
    </row>
    <row r="26" spans="1:7" ht="15.75" customHeight="1">
      <c r="B26" s="4" t="e" cm="1">
        <f t="array" aca="1" ref="B26" ca="1">INDIRECT("'"&amp;TEXT(A26,"dd-mm-yyyy")&amp;"'!Q2")</f>
        <v>#REF!</v>
      </c>
      <c r="D26" s="4" t="e">
        <f>VLOOKUP(A26,'[1]RCG INTERS '!$A$2:$B$172,2,)</f>
        <v>#N/A</v>
      </c>
    </row>
    <row r="27" spans="1:7" ht="15.75" customHeight="1">
      <c r="B27" s="4" t="e" cm="1">
        <f t="array" aca="1" ref="B27" ca="1">INDIRECT("'"&amp;TEXT(A27,"dd-mm-yyyy")&amp;"'!Q2")</f>
        <v>#REF!</v>
      </c>
      <c r="D27" s="4" t="e">
        <f>VLOOKUP(A27,'[1]RCG INTERS '!$A$2:$B$172,2,)</f>
        <v>#N/A</v>
      </c>
    </row>
    <row r="28" spans="1:7" ht="15.75" customHeight="1">
      <c r="B28" s="4" t="e" cm="1">
        <f t="array" aca="1" ref="B28" ca="1">INDIRECT("'"&amp;TEXT(A28,"dd-mm-yyyy")&amp;"'!Q2")</f>
        <v>#REF!</v>
      </c>
      <c r="D28" s="4" t="e">
        <f>VLOOKUP(A28,'[1]RCG INTERS '!$A$2:$B$172,2,)</f>
        <v>#N/A</v>
      </c>
    </row>
    <row r="29" spans="1:7" ht="15.75" customHeight="1">
      <c r="B29" s="4" t="e" cm="1">
        <f t="array" aca="1" ref="B29" ca="1">INDIRECT("'"&amp;TEXT(A29,"dd-mm-yyyy")&amp;"'!Q2")</f>
        <v>#REF!</v>
      </c>
      <c r="D29" s="4" t="e">
        <f>VLOOKUP(A29,'[1]RCG INTERS '!$A$2:$B$172,2,)</f>
        <v>#N/A</v>
      </c>
    </row>
    <row r="30" spans="1:7" ht="15.75" customHeight="1">
      <c r="B30" s="4" t="e" cm="1">
        <f t="array" aca="1" ref="B30" ca="1">INDIRECT("'"&amp;TEXT(A30,"dd-mm-yyyy")&amp;"'!Q2")</f>
        <v>#REF!</v>
      </c>
      <c r="D30" s="4" t="e">
        <f>VLOOKUP(A30,'[1]RCG INTERS '!$A$2:$B$172,2,)</f>
        <v>#N/A</v>
      </c>
    </row>
    <row r="31" spans="1:7" ht="15.75" customHeight="1">
      <c r="B31" s="4" t="e" cm="1">
        <f t="array" aca="1" ref="B31" ca="1">INDIRECT("'"&amp;TEXT(A31,"dd-mm-yyyy")&amp;"'!Q2")</f>
        <v>#REF!</v>
      </c>
      <c r="D31" s="4" t="e">
        <f>VLOOKUP(A31,'[1]RCG INTERS '!$A$2:$B$172,2,)</f>
        <v>#N/A</v>
      </c>
    </row>
    <row r="32" spans="1:7" ht="15.75" customHeight="1">
      <c r="B32" s="4" t="e" cm="1">
        <f t="array" aca="1" ref="B32" ca="1">INDIRECT("'"&amp;TEXT(A32,"dd-mm-yyyy")&amp;"'!Q2")</f>
        <v>#REF!</v>
      </c>
      <c r="D32" s="4" t="e">
        <f>VLOOKUP(A32,'[1]RCG INTERS '!$A$2:$B$172,2,)</f>
        <v>#N/A</v>
      </c>
    </row>
    <row r="33" spans="2:4" ht="15.75" customHeight="1">
      <c r="B33" s="4" t="e" cm="1">
        <f t="array" aca="1" ref="B33" ca="1">INDIRECT("'"&amp;TEXT(A33,"dd-mm-yyyy")&amp;"'!Q2")</f>
        <v>#REF!</v>
      </c>
      <c r="D33" s="4" t="e">
        <f>VLOOKUP(A33,'[1]RCG INTERS '!$A$2:$B$172,2,)</f>
        <v>#N/A</v>
      </c>
    </row>
    <row r="34" spans="2:4" ht="15.75" customHeight="1">
      <c r="B34" s="4" t="e" cm="1">
        <f t="array" aca="1" ref="B34" ca="1">INDIRECT("'"&amp;TEXT(A34,"dd-mm-yyyy")&amp;"'!Q2")</f>
        <v>#REF!</v>
      </c>
      <c r="D34" s="4" t="e">
        <f>VLOOKUP(A34,'[1]RCG INTERS '!$A$2:$B$172,2,)</f>
        <v>#N/A</v>
      </c>
    </row>
    <row r="35" spans="2:4" ht="15.75" customHeight="1">
      <c r="B35" s="4" t="e" cm="1">
        <f t="array" aca="1" ref="B35" ca="1">INDIRECT("'"&amp;TEXT(A35,"dd-mm-yyyy")&amp;"'!Q2")</f>
        <v>#REF!</v>
      </c>
      <c r="D35" s="4" t="e">
        <f>VLOOKUP(A35,'[1]RCG INTERS '!$A$2:$B$172,2,)</f>
        <v>#N/A</v>
      </c>
    </row>
    <row r="36" spans="2:4" ht="15.75" customHeight="1">
      <c r="B36" s="4" t="e" cm="1">
        <f t="array" aca="1" ref="B36" ca="1">INDIRECT("'"&amp;TEXT(A36,"dd-mm-yyyy")&amp;"'!Q2")</f>
        <v>#REF!</v>
      </c>
      <c r="D36" s="4" t="e">
        <f>VLOOKUP(A36,'[1]RCG INTERS '!$A$2:$B$172,2,)</f>
        <v>#N/A</v>
      </c>
    </row>
    <row r="37" spans="2:4" ht="15.75" customHeight="1">
      <c r="B37" s="4" t="e" cm="1">
        <f t="array" aca="1" ref="B37" ca="1">INDIRECT("'"&amp;TEXT(A37,"dd-mm-yyyy")&amp;"'!Q2")</f>
        <v>#REF!</v>
      </c>
      <c r="D37" s="4" t="e">
        <f>VLOOKUP(A37,'[1]RCG INTERS '!$A$2:$B$172,2,)</f>
        <v>#N/A</v>
      </c>
    </row>
    <row r="38" spans="2:4" ht="15.75" customHeight="1">
      <c r="B38" s="4" t="e" cm="1">
        <f t="array" aca="1" ref="B38" ca="1">INDIRECT("'"&amp;TEXT(A38,"dd-mm-yyyy")&amp;"'!Q2")</f>
        <v>#REF!</v>
      </c>
      <c r="D38" s="4" t="e">
        <f>VLOOKUP(A38,'[1]RCG INTERS '!$A$2:$B$172,2,)</f>
        <v>#N/A</v>
      </c>
    </row>
    <row r="39" spans="2:4" ht="15.75" customHeight="1">
      <c r="B39" s="4" t="e" cm="1">
        <f t="array" aca="1" ref="B39" ca="1">INDIRECT("'"&amp;TEXT(A39,"dd-mm-yyyy")&amp;"'!Q2")</f>
        <v>#REF!</v>
      </c>
      <c r="D39" s="4" t="e">
        <f>VLOOKUP(A39,'[1]RCG INTERS '!$A$2:$B$172,2,)</f>
        <v>#N/A</v>
      </c>
    </row>
    <row r="40" spans="2:4" ht="15.75" customHeight="1">
      <c r="B40" s="4" t="e" cm="1">
        <f t="array" aca="1" ref="B40" ca="1">INDIRECT("'"&amp;TEXT(A40,"dd-mm-yyyy")&amp;"'!Q2")</f>
        <v>#REF!</v>
      </c>
      <c r="D40" s="4" t="e">
        <f>VLOOKUP(A40,'[1]RCG INTERS '!$A$2:$B$172,2,)</f>
        <v>#N/A</v>
      </c>
    </row>
    <row r="41" spans="2:4" ht="15.75" customHeight="1">
      <c r="B41" s="4" t="e" cm="1">
        <f t="array" aca="1" ref="B41" ca="1">INDIRECT("'"&amp;TEXT(A41,"dd-mm-yyyy")&amp;"'!Q2")</f>
        <v>#REF!</v>
      </c>
      <c r="D41" s="4" t="e">
        <f>VLOOKUP(A41,'[1]RCG INTERS '!$A$2:$B$172,2,)</f>
        <v>#N/A</v>
      </c>
    </row>
    <row r="42" spans="2:4" ht="15.75" customHeight="1">
      <c r="B42" s="4" t="e" cm="1">
        <f t="array" aca="1" ref="B42" ca="1">INDIRECT("'"&amp;TEXT(A42,"dd-mm-yyyy")&amp;"'!Q2")</f>
        <v>#REF!</v>
      </c>
      <c r="D42" s="4" t="e">
        <f>VLOOKUP(A42,'[1]RCG INTERS '!$A$2:$B$172,2,)</f>
        <v>#N/A</v>
      </c>
    </row>
    <row r="43" spans="2:4" ht="15.75" customHeight="1">
      <c r="D43" s="4" t="e">
        <f>VLOOKUP(A43,'[1]RCG INTERS '!$A$2:$B$172,2,)</f>
        <v>#N/A</v>
      </c>
    </row>
    <row r="44" spans="2:4" ht="15.75" customHeight="1">
      <c r="D44" s="4" t="e">
        <f>VLOOKUP(A44,'[1]RCG INTERS '!$A$2:$B$172,2,)</f>
        <v>#N/A</v>
      </c>
    </row>
    <row r="45" spans="2:4" ht="15.75" customHeight="1">
      <c r="D45" s="4" t="e">
        <f>VLOOKUP(A45,'[1]RCG INTERS '!$A$2:$B$172,2,)</f>
        <v>#N/A</v>
      </c>
    </row>
    <row r="46" spans="2:4" ht="15.75" customHeight="1">
      <c r="D46" s="4" t="e">
        <f>VLOOKUP(A46,'[1]RCG INTERS '!$A$2:$B$172,2,)</f>
        <v>#N/A</v>
      </c>
    </row>
    <row r="47" spans="2:4" ht="15.75" customHeight="1">
      <c r="D47" s="4" t="e">
        <f>VLOOKUP(A47,'[1]RCG INTERS '!$A$2:$B$172,2,)</f>
        <v>#N/A</v>
      </c>
    </row>
    <row r="48" spans="2:4" ht="15.75" customHeight="1">
      <c r="D48" s="4" t="e">
        <f>VLOOKUP(A48,'[1]RCG INTERS '!$A$2:$B$172,2,)</f>
        <v>#N/A</v>
      </c>
    </row>
    <row r="49" spans="4:4" ht="15.75" customHeight="1">
      <c r="D49" s="4" t="e">
        <f>VLOOKUP(A49,'[1]RCG INTERS '!$A$2:$B$172,2,)</f>
        <v>#N/A</v>
      </c>
    </row>
    <row r="50" spans="4:4" ht="15.75" customHeight="1">
      <c r="D50" s="4" t="e">
        <f>VLOOKUP(A50,'[1]RCG INTERS '!$A$2:$B$172,2,)</f>
        <v>#N/A</v>
      </c>
    </row>
    <row r="51" spans="4:4" ht="15.75" customHeight="1">
      <c r="D51" s="4" t="e">
        <f>VLOOKUP(A51,'[1]RCG INTERS '!$A$2:$B$172,2,)</f>
        <v>#N/A</v>
      </c>
    </row>
    <row r="52" spans="4:4" ht="15.75" customHeight="1">
      <c r="D52" s="4" t="e">
        <f>VLOOKUP(A52,'[1]RCG INTERS '!$A$2:$B$172,2,)</f>
        <v>#N/A</v>
      </c>
    </row>
    <row r="53" spans="4:4" ht="15.75" customHeight="1">
      <c r="D53" s="4" t="e">
        <f>VLOOKUP(A53,'[1]RCG INTERS '!$A$2:$B$172,2,)</f>
        <v>#N/A</v>
      </c>
    </row>
    <row r="54" spans="4:4" ht="15.75" customHeight="1">
      <c r="D54" s="4" t="e">
        <f>VLOOKUP(A54,'[1]RCG INTERS '!$A$2:$B$172,2,)</f>
        <v>#N/A</v>
      </c>
    </row>
    <row r="55" spans="4:4" ht="15.75" customHeight="1">
      <c r="D55" s="4" t="e">
        <f>VLOOKUP(A55,'[1]RCG INTERS '!$A$2:$B$172,2,)</f>
        <v>#N/A</v>
      </c>
    </row>
    <row r="56" spans="4:4" ht="15.75" customHeight="1">
      <c r="D56" s="4" t="e">
        <f>VLOOKUP(A56,'[1]RCG INTERS '!$A$2:$B$172,2,)</f>
        <v>#N/A</v>
      </c>
    </row>
    <row r="57" spans="4:4" ht="15.75" customHeight="1">
      <c r="D57" s="4" t="e">
        <f>VLOOKUP(A57,'[1]RCG INTERS '!$A$2:$B$172,2,)</f>
        <v>#N/A</v>
      </c>
    </row>
    <row r="58" spans="4:4" ht="15.75" customHeight="1">
      <c r="D58" s="4" t="e">
        <f>VLOOKUP(A58,'[1]RCG INTERS '!$A$2:$B$172,2,)</f>
        <v>#N/A</v>
      </c>
    </row>
    <row r="59" spans="4:4" ht="15.75" customHeight="1">
      <c r="D59" s="4" t="e">
        <f>VLOOKUP(A59,'[1]RCG INTERS '!$A$2:$B$172,2,)</f>
        <v>#N/A</v>
      </c>
    </row>
    <row r="60" spans="4:4" ht="15.75" customHeight="1">
      <c r="D60" s="4" t="e">
        <f>VLOOKUP(A60,'[1]RCG INTERS '!$A$2:$B$172,2,)</f>
        <v>#N/A</v>
      </c>
    </row>
    <row r="61" spans="4:4" ht="15.75" customHeight="1">
      <c r="D61" s="4" t="e">
        <f>VLOOKUP(A61,'[1]RCG INTERS '!$A$2:$B$172,2,)</f>
        <v>#N/A</v>
      </c>
    </row>
    <row r="62" spans="4:4" ht="15.75" customHeight="1">
      <c r="D62" s="4" t="e">
        <f>VLOOKUP(A62,'[1]RCG INTERS '!$A$2:$B$172,2,)</f>
        <v>#N/A</v>
      </c>
    </row>
    <row r="63" spans="4:4" ht="15.75" customHeight="1">
      <c r="D63" s="4" t="e">
        <f>VLOOKUP(A63,'[1]RCG INTERS '!$A$2:$B$172,2,)</f>
        <v>#N/A</v>
      </c>
    </row>
    <row r="64" spans="4:4" ht="15.75" customHeight="1">
      <c r="D64" s="4" t="e">
        <f>VLOOKUP(A64,'[1]RCG INTERS '!$A$2:$B$172,2,)</f>
        <v>#N/A</v>
      </c>
    </row>
    <row r="65" spans="4:4" ht="15.75" customHeight="1">
      <c r="D65" s="4" t="e">
        <f>VLOOKUP(A65,'[1]RCG INTERS '!$A$2:$B$172,2,)</f>
        <v>#N/A</v>
      </c>
    </row>
    <row r="66" spans="4:4" ht="15.75" customHeight="1">
      <c r="D66" s="4" t="e">
        <f>VLOOKUP(A66,'[1]RCG INTERS '!$A$2:$B$172,2,)</f>
        <v>#N/A</v>
      </c>
    </row>
    <row r="67" spans="4:4" ht="15.75" customHeight="1">
      <c r="D67" s="4" t="e">
        <f>VLOOKUP(A67,'[1]RCG INTERS '!$A$2:$B$172,2,)</f>
        <v>#N/A</v>
      </c>
    </row>
    <row r="68" spans="4:4" ht="15.75" customHeight="1">
      <c r="D68" s="4" t="e">
        <f>VLOOKUP(A68,'[1]RCG INTERS '!$A$2:$B$172,2,)</f>
        <v>#N/A</v>
      </c>
    </row>
    <row r="69" spans="4:4" ht="15.75" customHeight="1">
      <c r="D69" s="4" t="e">
        <f>VLOOKUP(A69,'[1]RCG INTERS '!$A$2:$B$172,2,)</f>
        <v>#N/A</v>
      </c>
    </row>
    <row r="70" spans="4:4" ht="15.75" customHeight="1">
      <c r="D70" s="4" t="e">
        <f>VLOOKUP(A70,'[1]RCG INTERS '!$A$2:$B$172,2,)</f>
        <v>#N/A</v>
      </c>
    </row>
    <row r="71" spans="4:4" ht="15.75" customHeight="1">
      <c r="D71" s="4" t="e">
        <f>VLOOKUP(A71,'[1]RCG INTERS '!$A$2:$B$172,2,)</f>
        <v>#N/A</v>
      </c>
    </row>
    <row r="72" spans="4:4" ht="15.75" customHeight="1">
      <c r="D72" s="4" t="e">
        <f>VLOOKUP(A72,'[1]RCG INTERS '!$A$2:$B$172,2,)</f>
        <v>#N/A</v>
      </c>
    </row>
    <row r="73" spans="4:4" ht="15.75" customHeight="1">
      <c r="D73" s="4" t="e">
        <f>VLOOKUP(A73,'[1]RCG INTERS '!$A$2:$B$172,2,)</f>
        <v>#N/A</v>
      </c>
    </row>
    <row r="74" spans="4:4" ht="15.75" customHeight="1">
      <c r="D74" s="4" t="e">
        <f>VLOOKUP(A74,'[1]RCG INTERS '!$A$2:$B$172,2,)</f>
        <v>#N/A</v>
      </c>
    </row>
    <row r="75" spans="4:4" ht="15.75" customHeight="1">
      <c r="D75" s="4" t="e">
        <f>VLOOKUP(A75,'[1]RCG INTERS '!$A$2:$B$172,2,)</f>
        <v>#N/A</v>
      </c>
    </row>
    <row r="76" spans="4:4" ht="15.75" customHeight="1">
      <c r="D76" s="4" t="e">
        <f>VLOOKUP(A76,'[1]RCG INTERS '!$A$2:$B$172,2,)</f>
        <v>#N/A</v>
      </c>
    </row>
    <row r="77" spans="4:4" ht="15.75" customHeight="1">
      <c r="D77" s="4" t="e">
        <f>VLOOKUP(A77,'[1]RCG INTERS '!$A$2:$B$172,2,)</f>
        <v>#N/A</v>
      </c>
    </row>
    <row r="78" spans="4:4" ht="15.75" customHeight="1">
      <c r="D78" s="4" t="e">
        <f>VLOOKUP(A78,'[1]RCG INTERS '!$A$2:$B$172,2,)</f>
        <v>#N/A</v>
      </c>
    </row>
    <row r="79" spans="4:4" ht="15.75" customHeight="1">
      <c r="D79" s="4" t="e">
        <f>VLOOKUP(A79,'[1]RCG INTERS '!$A$2:$B$172,2,)</f>
        <v>#N/A</v>
      </c>
    </row>
    <row r="80" spans="4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F0B-0C26-47DD-85BB-DB1F56181614}">
  <dimension ref="A1:AA5"/>
  <sheetViews>
    <sheetView workbookViewId="0">
      <selection activeCell="P3" sqref="P3"/>
    </sheetView>
  </sheetViews>
  <sheetFormatPr defaultRowHeight="15"/>
  <sheetData>
    <row r="1" spans="1:27" ht="63.75">
      <c r="A1" s="11" t="s">
        <v>25</v>
      </c>
      <c r="B1" s="20" t="s">
        <v>26</v>
      </c>
      <c r="C1" s="21"/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22" t="s">
        <v>37</v>
      </c>
      <c r="O1" s="23"/>
      <c r="Q1" s="8" t="s">
        <v>15</v>
      </c>
      <c r="R1" s="8" t="s">
        <v>16</v>
      </c>
      <c r="S1" s="8" t="s">
        <v>17</v>
      </c>
      <c r="T1" s="8" t="s">
        <v>18</v>
      </c>
      <c r="U1" s="8" t="s">
        <v>9</v>
      </c>
      <c r="V1" s="8" t="s">
        <v>19</v>
      </c>
      <c r="W1" s="8" t="s">
        <v>11</v>
      </c>
      <c r="X1" s="8" t="s">
        <v>12</v>
      </c>
      <c r="Y1" s="8" t="s">
        <v>20</v>
      </c>
      <c r="Z1" s="8" t="s">
        <v>21</v>
      </c>
      <c r="AA1" s="8" t="s">
        <v>22</v>
      </c>
    </row>
    <row r="2" spans="1:27" ht="51">
      <c r="A2" s="13" t="s">
        <v>38</v>
      </c>
      <c r="B2" s="24" t="s">
        <v>39</v>
      </c>
      <c r="C2" s="25"/>
      <c r="D2" s="14">
        <v>0</v>
      </c>
      <c r="E2" s="14">
        <v>0</v>
      </c>
      <c r="F2" s="14">
        <v>130</v>
      </c>
      <c r="G2" s="14">
        <v>23.657699999999998</v>
      </c>
      <c r="H2" s="14">
        <v>3075.5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26">
        <v>-3075.5</v>
      </c>
      <c r="O2" s="27"/>
      <c r="P2" s="2">
        <f>G2*F2</f>
        <v>3075.5009999999997</v>
      </c>
      <c r="Q2" s="10">
        <f>SUM(C:C)+SUM(F:F)</f>
        <v>130</v>
      </c>
      <c r="R2" s="2">
        <f>SUMIFS($N:$N,$D:$D,"*IO PE*",$N:$N,"&lt;0")</f>
        <v>0</v>
      </c>
      <c r="S2" s="2">
        <f>SUMIFS($N:$N,$D:$D,"*IO PE*",$N:$N,"&gt;0")</f>
        <v>0</v>
      </c>
      <c r="T2" s="2">
        <f>SUMIFS($N:$N,$D:$D,"*IO CE*",$N:$N,"&lt;0")</f>
        <v>0</v>
      </c>
      <c r="U2" s="2">
        <f>SUMIFS($N:$N,$D:$D,"*IO CE*",$N:$N,"&gt;0")</f>
        <v>0</v>
      </c>
      <c r="V2" s="2">
        <f>R2+S2+T2+U2</f>
        <v>0</v>
      </c>
      <c r="W2" s="5" t="e">
        <f>ABS(S2)/R2</f>
        <v>#DIV/0!</v>
      </c>
      <c r="X2" s="5" t="e">
        <f>ABS(U2)/T2</f>
        <v>#DIV/0!</v>
      </c>
      <c r="Y2" s="2">
        <f>SUMIFS($U:$U,$D:$D,"IO PE*",$U:$U,"&lt;0")</f>
        <v>0</v>
      </c>
      <c r="Z2" s="2">
        <f>SUMIFS($U:$U,$D:$D,"IO CE*",$U:$U,"&lt;0")</f>
        <v>0</v>
      </c>
      <c r="AA2" s="2">
        <f>ABS(Y2+Z2)</f>
        <v>0</v>
      </c>
    </row>
    <row r="3" spans="1:27" ht="51">
      <c r="A3" s="13" t="s">
        <v>40</v>
      </c>
      <c r="B3" s="24" t="s">
        <v>39</v>
      </c>
      <c r="C3" s="25"/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130</v>
      </c>
      <c r="J3" s="14">
        <v>170.89230000000001</v>
      </c>
      <c r="K3" s="14">
        <v>22216</v>
      </c>
      <c r="L3" s="14">
        <v>0</v>
      </c>
      <c r="M3" s="14">
        <v>0</v>
      </c>
      <c r="N3" s="26">
        <v>22216</v>
      </c>
      <c r="O3" s="27"/>
      <c r="P3" s="2">
        <f>I3*J3</f>
        <v>22215.999</v>
      </c>
      <c r="R3" s="18" t="s">
        <v>23</v>
      </c>
      <c r="S3" s="19"/>
      <c r="T3" s="18" t="s">
        <v>24</v>
      </c>
      <c r="U3" s="19"/>
    </row>
    <row r="4" spans="1:27">
      <c r="P4" s="2"/>
      <c r="R4" s="9">
        <f t="array" ref="R4">MAX(IF((ISNUMBER(SEARCH(" PE ",$D:$D)))*($N:$N=MIN(IF(ISNUMBER(SEARCH(" PE ",$D:$D)),$N:$N))),VALUE(RIGHT($D:$D,5))))</f>
        <v>0</v>
      </c>
      <c r="S4" s="9" t="e">
        <f>$W$2</f>
        <v>#DIV/0!</v>
      </c>
      <c r="T4" s="9">
        <f t="array" ref="T4">MAX(IF((ISNUMBER(SEARCH(" CE ",$D:$D)))*($N:$N=MIN(IF(ISNUMBER(SEARCH(" CE ",$D:$D)),$N:$N))),VALUE(RIGHT($D:$D,5))))</f>
        <v>0</v>
      </c>
      <c r="U4" s="9">
        <f>$Y$2</f>
        <v>0</v>
      </c>
    </row>
    <row r="5" spans="1:27">
      <c r="P5" s="2"/>
      <c r="R5" s="9">
        <f t="array" ref="R5">MIN(IF((ISNUMBER(SEARCH(" PE ",$D$2:$D$1000)))*($N$2:$N$1000=MAX(IF(ISNUMBER(SEARCH(" PE ",$D$2:$D$1000)),$N$2:$N$1000))),VALUE(RIGHT($D$2:$D$1000,5))))</f>
        <v>0</v>
      </c>
      <c r="S5" s="9" t="e">
        <f>$X$2</f>
        <v>#DIV/0!</v>
      </c>
      <c r="T5" s="9">
        <f t="array" ref="T5">MIN(IF((ISNUMBER(SEARCH(" CE ",$D$2:$D$1000)))*($N$2:$N$1000=MAX(IF(ISNUMBER(SEARCH(" CE ",$D$2:$D$1000)),$N$2:$N$1000))),VALUE(RIGHT($D$2:$D$1000,5))))</f>
        <v>0</v>
      </c>
      <c r="U5" s="9">
        <f>$Z$2</f>
        <v>0</v>
      </c>
    </row>
  </sheetData>
  <mergeCells count="8">
    <mergeCell ref="R3:S3"/>
    <mergeCell ref="T3:U3"/>
    <mergeCell ref="B1:C1"/>
    <mergeCell ref="N1:O1"/>
    <mergeCell ref="B2:C2"/>
    <mergeCell ref="N2:O2"/>
    <mergeCell ref="B3:C3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9C73-1809-4B5D-A69F-98A04778F3F3}">
  <dimension ref="A1:O6"/>
  <sheetViews>
    <sheetView workbookViewId="0">
      <selection activeCell="U5" sqref="U5"/>
    </sheetView>
  </sheetViews>
  <sheetFormatPr defaultRowHeight="15"/>
  <sheetData>
    <row r="1" spans="1:15">
      <c r="A1" s="11" t="s">
        <v>25</v>
      </c>
      <c r="B1" s="20" t="s">
        <v>26</v>
      </c>
      <c r="C1" s="21"/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22" t="s">
        <v>37</v>
      </c>
      <c r="O1" s="23"/>
    </row>
    <row r="2" spans="1:15" ht="51">
      <c r="A2" s="13" t="s">
        <v>41</v>
      </c>
      <c r="B2" s="24" t="s">
        <v>39</v>
      </c>
      <c r="C2" s="25"/>
      <c r="D2" s="14">
        <v>0</v>
      </c>
      <c r="E2" s="14">
        <v>0</v>
      </c>
      <c r="F2" s="14">
        <v>65</v>
      </c>
      <c r="G2" s="14">
        <v>23.307700000000001</v>
      </c>
      <c r="H2" s="14">
        <v>1515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26">
        <v>-1515</v>
      </c>
      <c r="O2" s="27"/>
    </row>
    <row r="3" spans="1:15" ht="51">
      <c r="A3" s="13" t="s">
        <v>42</v>
      </c>
      <c r="B3" s="24" t="s">
        <v>39</v>
      </c>
      <c r="C3" s="25"/>
      <c r="D3" s="14">
        <v>0</v>
      </c>
      <c r="E3" s="14">
        <v>0</v>
      </c>
      <c r="F3" s="14">
        <v>65</v>
      </c>
      <c r="G3" s="14">
        <v>341.70769999999999</v>
      </c>
      <c r="H3" s="14">
        <v>22211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26">
        <v>-22211</v>
      </c>
      <c r="O3" s="27"/>
    </row>
    <row r="4" spans="1:15" ht="51">
      <c r="A4" s="13" t="s">
        <v>43</v>
      </c>
      <c r="B4" s="24" t="s">
        <v>39</v>
      </c>
      <c r="C4" s="25"/>
      <c r="D4" s="14">
        <v>0</v>
      </c>
      <c r="E4" s="14">
        <v>0</v>
      </c>
      <c r="F4" s="14">
        <v>65</v>
      </c>
      <c r="G4" s="14">
        <v>18.907699999999998</v>
      </c>
      <c r="H4" s="14">
        <v>1229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26">
        <v>-1229</v>
      </c>
      <c r="O4" s="27"/>
    </row>
    <row r="5" spans="1:15" ht="51">
      <c r="A5" s="13" t="s">
        <v>44</v>
      </c>
      <c r="B5" s="24" t="s">
        <v>39</v>
      </c>
      <c r="C5" s="25"/>
      <c r="D5" s="14">
        <v>0</v>
      </c>
      <c r="E5" s="14">
        <v>0</v>
      </c>
      <c r="F5" s="14">
        <v>65</v>
      </c>
      <c r="G5" s="14">
        <v>21.207699999999999</v>
      </c>
      <c r="H5" s="14">
        <v>1378.5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26">
        <v>-1378.5</v>
      </c>
      <c r="O5" s="27"/>
    </row>
    <row r="6" spans="1:15" ht="51">
      <c r="A6" s="13" t="s">
        <v>45</v>
      </c>
      <c r="B6" s="24" t="s">
        <v>39</v>
      </c>
      <c r="C6" s="25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65</v>
      </c>
      <c r="J6" s="14">
        <v>171.04230000000001</v>
      </c>
      <c r="K6" s="14">
        <v>11117.75</v>
      </c>
      <c r="L6" s="14">
        <v>0</v>
      </c>
      <c r="M6" s="14">
        <v>0</v>
      </c>
      <c r="N6" s="26">
        <v>11117.75</v>
      </c>
      <c r="O6" s="27"/>
    </row>
  </sheetData>
  <mergeCells count="12">
    <mergeCell ref="B1:C1"/>
    <mergeCell ref="N1:O1"/>
    <mergeCell ref="B2:C2"/>
    <mergeCell ref="N2:O2"/>
    <mergeCell ref="B3:C3"/>
    <mergeCell ref="N3:O3"/>
    <mergeCell ref="B4:C4"/>
    <mergeCell ref="N4:O4"/>
    <mergeCell ref="B5:C5"/>
    <mergeCell ref="N5:O5"/>
    <mergeCell ref="B6:C6"/>
    <mergeCell ref="N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9544-B05B-46CF-82FF-227DF1AACAE3}">
  <dimension ref="A1:O9"/>
  <sheetViews>
    <sheetView workbookViewId="0">
      <selection sqref="A1:O9"/>
    </sheetView>
  </sheetViews>
  <sheetFormatPr defaultRowHeight="15"/>
  <sheetData>
    <row r="1" spans="1:15">
      <c r="A1" s="11" t="s">
        <v>25</v>
      </c>
      <c r="B1" s="20" t="s">
        <v>26</v>
      </c>
      <c r="C1" s="21"/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22" t="s">
        <v>37</v>
      </c>
      <c r="O1" s="23"/>
    </row>
    <row r="2" spans="1:15" ht="51">
      <c r="A2" s="13" t="s">
        <v>41</v>
      </c>
      <c r="B2" s="24" t="s">
        <v>39</v>
      </c>
      <c r="C2" s="25"/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65</v>
      </c>
      <c r="J2" s="14">
        <v>11.292299999999999</v>
      </c>
      <c r="K2" s="14">
        <v>734</v>
      </c>
      <c r="L2" s="14">
        <v>0</v>
      </c>
      <c r="M2" s="14">
        <v>0</v>
      </c>
      <c r="N2" s="26">
        <v>734</v>
      </c>
      <c r="O2" s="27"/>
    </row>
    <row r="3" spans="1:15" ht="51">
      <c r="A3" s="13" t="s">
        <v>38</v>
      </c>
      <c r="B3" s="24" t="s">
        <v>39</v>
      </c>
      <c r="C3" s="25"/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130</v>
      </c>
      <c r="J3" s="14">
        <v>4.7923</v>
      </c>
      <c r="K3" s="14">
        <v>623</v>
      </c>
      <c r="L3" s="14">
        <v>0</v>
      </c>
      <c r="M3" s="14">
        <v>0</v>
      </c>
      <c r="N3" s="26">
        <v>623</v>
      </c>
      <c r="O3" s="27"/>
    </row>
    <row r="4" spans="1:15" ht="51">
      <c r="A4" s="13" t="s">
        <v>46</v>
      </c>
      <c r="B4" s="24" t="s">
        <v>39</v>
      </c>
      <c r="C4" s="25"/>
      <c r="D4" s="14">
        <v>0</v>
      </c>
      <c r="E4" s="14">
        <v>0</v>
      </c>
      <c r="F4" s="14">
        <v>65</v>
      </c>
      <c r="G4" s="14">
        <v>23.557700000000001</v>
      </c>
      <c r="H4" s="14">
        <v>1531.25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26">
        <v>-1531.25</v>
      </c>
      <c r="O4" s="27"/>
    </row>
    <row r="5" spans="1:15" ht="51">
      <c r="A5" s="13" t="s">
        <v>47</v>
      </c>
      <c r="B5" s="24" t="s">
        <v>39</v>
      </c>
      <c r="C5" s="25"/>
      <c r="D5" s="14">
        <v>0</v>
      </c>
      <c r="E5" s="14">
        <v>0</v>
      </c>
      <c r="F5" s="14">
        <v>130</v>
      </c>
      <c r="G5" s="14">
        <v>23.657699999999998</v>
      </c>
      <c r="H5" s="14">
        <v>3075.5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26">
        <v>-3075.5</v>
      </c>
      <c r="O5" s="27"/>
    </row>
    <row r="6" spans="1:15" ht="51">
      <c r="A6" s="13" t="s">
        <v>43</v>
      </c>
      <c r="B6" s="24" t="s">
        <v>39</v>
      </c>
      <c r="C6" s="25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65</v>
      </c>
      <c r="J6" s="14">
        <v>9.9923000000000002</v>
      </c>
      <c r="K6" s="14">
        <v>649.5</v>
      </c>
      <c r="L6" s="14">
        <v>0</v>
      </c>
      <c r="M6" s="14">
        <v>0</v>
      </c>
      <c r="N6" s="26">
        <v>649.5</v>
      </c>
      <c r="O6" s="27"/>
    </row>
    <row r="7" spans="1:15" ht="51">
      <c r="A7" s="13" t="s">
        <v>48</v>
      </c>
      <c r="B7" s="24" t="s">
        <v>39</v>
      </c>
      <c r="C7" s="25"/>
      <c r="D7" s="14">
        <v>0</v>
      </c>
      <c r="E7" s="14">
        <v>0</v>
      </c>
      <c r="F7" s="14">
        <v>65</v>
      </c>
      <c r="G7" s="14">
        <v>20.307700000000001</v>
      </c>
      <c r="H7" s="14">
        <v>1320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26">
        <v>-1320</v>
      </c>
      <c r="O7" s="27"/>
    </row>
    <row r="8" spans="1:15" ht="51">
      <c r="A8" s="13" t="s">
        <v>49</v>
      </c>
      <c r="B8" s="24" t="s">
        <v>39</v>
      </c>
      <c r="C8" s="25"/>
      <c r="D8" s="14">
        <v>0</v>
      </c>
      <c r="E8" s="14">
        <v>0</v>
      </c>
      <c r="F8" s="14">
        <v>65</v>
      </c>
      <c r="G8" s="14">
        <v>20.457699999999999</v>
      </c>
      <c r="H8" s="14">
        <v>1329.75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26">
        <v>-1329.75</v>
      </c>
      <c r="O8" s="27"/>
    </row>
    <row r="9" spans="1:15" ht="51">
      <c r="A9" s="13" t="s">
        <v>44</v>
      </c>
      <c r="B9" s="24" t="s">
        <v>39</v>
      </c>
      <c r="C9" s="25"/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65</v>
      </c>
      <c r="J9" s="14">
        <v>16.042300000000001</v>
      </c>
      <c r="K9" s="14">
        <v>1042.75</v>
      </c>
      <c r="L9" s="14">
        <v>0</v>
      </c>
      <c r="M9" s="14">
        <v>0</v>
      </c>
      <c r="N9" s="26">
        <v>1042.75</v>
      </c>
      <c r="O9" s="27"/>
    </row>
  </sheetData>
  <mergeCells count="18">
    <mergeCell ref="B1:C1"/>
    <mergeCell ref="N1:O1"/>
    <mergeCell ref="B2:C2"/>
    <mergeCell ref="N2:O2"/>
    <mergeCell ref="B3:C3"/>
    <mergeCell ref="N3:O3"/>
    <mergeCell ref="B4:C4"/>
    <mergeCell ref="N4:O4"/>
    <mergeCell ref="B5:C5"/>
    <mergeCell ref="N5:O5"/>
    <mergeCell ref="B6:C6"/>
    <mergeCell ref="N6:O6"/>
    <mergeCell ref="B7:C7"/>
    <mergeCell ref="N7:O7"/>
    <mergeCell ref="B8:C8"/>
    <mergeCell ref="N8:O8"/>
    <mergeCell ref="B9:C9"/>
    <mergeCell ref="N9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068C-705D-44A9-B169-91EA169AD1BC}">
  <dimension ref="A1:AR61"/>
  <sheetViews>
    <sheetView topLeftCell="R1" workbookViewId="0">
      <selection activeCell="AP2" sqref="AP2:AR2"/>
    </sheetView>
  </sheetViews>
  <sheetFormatPr defaultRowHeight="15"/>
  <cols>
    <col min="5" max="5" width="11.140625" bestFit="1" customWidth="1"/>
    <col min="11" max="11" width="27.85546875" bestFit="1" customWidth="1"/>
  </cols>
  <sheetData>
    <row r="1" spans="1:44" ht="63.7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14</v>
      </c>
      <c r="J1" t="s">
        <v>58</v>
      </c>
      <c r="K1" t="s">
        <v>59</v>
      </c>
      <c r="L1" t="s">
        <v>60</v>
      </c>
      <c r="M1" t="s">
        <v>13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H1" s="8" t="s">
        <v>15</v>
      </c>
      <c r="AI1" s="8" t="s">
        <v>16</v>
      </c>
      <c r="AJ1" s="8" t="s">
        <v>17</v>
      </c>
      <c r="AK1" s="8" t="s">
        <v>18</v>
      </c>
      <c r="AL1" s="8" t="s">
        <v>9</v>
      </c>
      <c r="AM1" s="8" t="s">
        <v>19</v>
      </c>
      <c r="AN1" s="8" t="s">
        <v>11</v>
      </c>
      <c r="AO1" s="8" t="s">
        <v>12</v>
      </c>
      <c r="AP1" s="8" t="s">
        <v>20</v>
      </c>
      <c r="AQ1" s="8" t="s">
        <v>21</v>
      </c>
      <c r="AR1" s="8" t="s">
        <v>22</v>
      </c>
    </row>
    <row r="2" spans="1:44">
      <c r="A2" t="s">
        <v>80</v>
      </c>
      <c r="B2" t="s">
        <v>81</v>
      </c>
      <c r="C2" t="s">
        <v>82</v>
      </c>
      <c r="D2" t="s">
        <v>39</v>
      </c>
      <c r="E2" s="15">
        <v>46252</v>
      </c>
      <c r="F2">
        <v>24500</v>
      </c>
      <c r="G2" t="s">
        <v>83</v>
      </c>
      <c r="H2">
        <v>3425.5</v>
      </c>
      <c r="I2">
        <v>-130</v>
      </c>
      <c r="J2">
        <v>139.69999999999999</v>
      </c>
      <c r="K2" t="s">
        <v>84</v>
      </c>
      <c r="L2">
        <v>0</v>
      </c>
      <c r="M2">
        <v>0</v>
      </c>
      <c r="N2">
        <v>130</v>
      </c>
      <c r="O2">
        <v>166.05</v>
      </c>
      <c r="P2">
        <v>0</v>
      </c>
      <c r="Q2">
        <v>166.05</v>
      </c>
      <c r="R2" t="s">
        <v>85</v>
      </c>
      <c r="S2">
        <v>0</v>
      </c>
      <c r="T2">
        <v>3425.5</v>
      </c>
      <c r="U2" t="s">
        <v>86</v>
      </c>
      <c r="V2">
        <v>0</v>
      </c>
      <c r="W2">
        <v>166.05</v>
      </c>
      <c r="X2">
        <v>0</v>
      </c>
      <c r="Y2">
        <v>21586.5</v>
      </c>
      <c r="Z2">
        <v>3425.5</v>
      </c>
      <c r="AA2">
        <v>3425.5</v>
      </c>
      <c r="AB2" t="s">
        <v>87</v>
      </c>
      <c r="AC2">
        <v>65</v>
      </c>
      <c r="AD2">
        <v>-2</v>
      </c>
      <c r="AE2">
        <v>0</v>
      </c>
      <c r="AF2">
        <v>2</v>
      </c>
      <c r="AG2" s="10">
        <f>I2*J2</f>
        <v>-18161</v>
      </c>
      <c r="AH2" s="10">
        <f>SUM($G$31:G249)</f>
        <v>2405</v>
      </c>
      <c r="AI2" s="2">
        <f>SUMIFS($I$2:$I$29,$G$2:$G$29,"PE",$I$2:$I$29,"&lt;0")</f>
        <v>-325</v>
      </c>
      <c r="AJ2" s="2">
        <f>SUMIFS($I$2:$I$29,$G$2:$G$29,"PE",$I$2:$I$29,"&gt;0")</f>
        <v>520</v>
      </c>
      <c r="AK2" s="2">
        <f>SUMIFS($I$2:$I$29,$G$2:$G$29,"CE",$I$2:$I$29,"&lt;0")</f>
        <v>-130</v>
      </c>
      <c r="AL2" s="2">
        <f>SUMIFS($I$2:$I$29,$G$2:$G$29,"CE",$I$2:$I$29,"&gt;0")</f>
        <v>195</v>
      </c>
      <c r="AM2" s="2">
        <f>AI2+AJ2+AK2+AL2</f>
        <v>260</v>
      </c>
      <c r="AN2" s="5">
        <f>ABS(AJ2)/AI2</f>
        <v>-1.6</v>
      </c>
      <c r="AO2" s="5">
        <f>ABS(AL2)/AK2</f>
        <v>-1.5</v>
      </c>
      <c r="AP2" s="2" cm="1">
        <f t="array" ref="AP2">SUMPRODUCT((INDEX($A$2:$AF$29,0,MATCH("OPTION TYPE",$A$1:$AF$1,0))="PE")*(INDEX($A$2:$AF$29,0,MATCH("NETQTY",$A$1:$AF$1,0))*INDEX($A$2:$AF$29,0,MATCH("LastTradePrice",$A$1:$AF$1,0))&lt;0)*INDEX($A$2:$AF$29,0,MATCH("NETQTY",$A$1:$AF$1,0))*INDEX($A$2:$AF$29,0,MATCH("LastTradePrice",$A$1:$AF$1,0)))</f>
        <v>-43949.75</v>
      </c>
      <c r="AQ2" s="2" cm="1">
        <f t="array" ref="AQ2">SUMPRODUCT((INDEX($A$2:$AF$29,0,MATCH("OPTION TYPE",$A$1:$AF$1,0))="CE")*(INDEX($A$2:$AF$29,0,MATCH("NETQTY",$A$1:$AF$1,0))*INDEX($A$2:$AF$29,0,MATCH("LastTradePrice",$A$1:$AF$1,0))&lt;0)*INDEX($A$2:$AF$29,0,MATCH("NETQTY",$A$1:$AF$1,0))*INDEX($A$2:$AF$29,0,MATCH("LastTradePrice",$A$1:$AF$1,0)))</f>
        <v>-18161</v>
      </c>
      <c r="AR2" s="2">
        <f>ABS(AP2+AQ2)</f>
        <v>62110.75</v>
      </c>
    </row>
    <row r="3" spans="1:44">
      <c r="A3" t="s">
        <v>80</v>
      </c>
      <c r="B3" t="s">
        <v>81</v>
      </c>
      <c r="C3" t="s">
        <v>82</v>
      </c>
      <c r="D3" t="s">
        <v>39</v>
      </c>
      <c r="E3" s="15">
        <v>46252</v>
      </c>
      <c r="F3">
        <v>24400</v>
      </c>
      <c r="G3" t="s">
        <v>88</v>
      </c>
      <c r="H3">
        <v>1573</v>
      </c>
      <c r="I3">
        <v>-130</v>
      </c>
      <c r="J3">
        <v>99.25</v>
      </c>
      <c r="K3" t="s">
        <v>89</v>
      </c>
      <c r="L3">
        <v>0</v>
      </c>
      <c r="M3">
        <v>0</v>
      </c>
      <c r="N3">
        <v>130</v>
      </c>
      <c r="O3">
        <v>111.35</v>
      </c>
      <c r="P3">
        <v>0</v>
      </c>
      <c r="Q3">
        <v>111.35</v>
      </c>
      <c r="R3" t="s">
        <v>85</v>
      </c>
      <c r="S3">
        <v>0</v>
      </c>
      <c r="T3">
        <v>1573</v>
      </c>
      <c r="U3" t="s">
        <v>86</v>
      </c>
      <c r="V3">
        <v>0</v>
      </c>
      <c r="W3">
        <v>111.35</v>
      </c>
      <c r="X3">
        <v>0</v>
      </c>
      <c r="Y3">
        <v>14475.5</v>
      </c>
      <c r="Z3">
        <v>1573</v>
      </c>
      <c r="AA3">
        <v>1573</v>
      </c>
      <c r="AB3" t="s">
        <v>87</v>
      </c>
      <c r="AC3">
        <v>65</v>
      </c>
      <c r="AD3">
        <v>-2</v>
      </c>
      <c r="AE3">
        <v>0</v>
      </c>
      <c r="AF3">
        <v>2</v>
      </c>
      <c r="AG3" s="10">
        <f t="shared" ref="AG3:AG15" si="0">I3*J3</f>
        <v>-12902.5</v>
      </c>
      <c r="AH3" s="10"/>
      <c r="AI3" s="18"/>
      <c r="AJ3" s="19"/>
      <c r="AK3" s="18"/>
      <c r="AL3" s="19"/>
    </row>
    <row r="4" spans="1:44">
      <c r="A4" t="s">
        <v>80</v>
      </c>
      <c r="B4" t="s">
        <v>81</v>
      </c>
      <c r="C4" t="s">
        <v>82</v>
      </c>
      <c r="D4" t="s">
        <v>39</v>
      </c>
      <c r="E4" s="15">
        <v>46252</v>
      </c>
      <c r="F4">
        <v>24500</v>
      </c>
      <c r="G4" t="s">
        <v>88</v>
      </c>
      <c r="H4">
        <v>871</v>
      </c>
      <c r="I4">
        <v>-130</v>
      </c>
      <c r="J4">
        <v>141.30000000000001</v>
      </c>
      <c r="K4" t="s">
        <v>90</v>
      </c>
      <c r="L4">
        <v>0</v>
      </c>
      <c r="M4">
        <v>0</v>
      </c>
      <c r="N4">
        <v>130</v>
      </c>
      <c r="O4">
        <v>148</v>
      </c>
      <c r="P4">
        <v>0</v>
      </c>
      <c r="Q4">
        <v>148</v>
      </c>
      <c r="R4" t="s">
        <v>85</v>
      </c>
      <c r="S4">
        <v>0</v>
      </c>
      <c r="T4">
        <v>871</v>
      </c>
      <c r="U4" t="s">
        <v>86</v>
      </c>
      <c r="V4">
        <v>0</v>
      </c>
      <c r="W4">
        <v>148</v>
      </c>
      <c r="X4">
        <v>0</v>
      </c>
      <c r="Y4">
        <v>19240</v>
      </c>
      <c r="Z4">
        <v>871</v>
      </c>
      <c r="AA4">
        <v>871</v>
      </c>
      <c r="AB4" t="s">
        <v>87</v>
      </c>
      <c r="AC4">
        <v>65</v>
      </c>
      <c r="AD4">
        <v>-2</v>
      </c>
      <c r="AE4">
        <v>0</v>
      </c>
      <c r="AF4">
        <v>2</v>
      </c>
      <c r="AG4" s="10">
        <f t="shared" si="0"/>
        <v>-18369</v>
      </c>
      <c r="AH4" s="10"/>
      <c r="AI4" s="9"/>
      <c r="AJ4" s="9"/>
      <c r="AK4" s="9"/>
      <c r="AL4" s="9"/>
    </row>
    <row r="5" spans="1:44">
      <c r="A5" t="s">
        <v>80</v>
      </c>
      <c r="B5" t="s">
        <v>81</v>
      </c>
      <c r="C5" t="s">
        <v>82</v>
      </c>
      <c r="D5" t="s">
        <v>39</v>
      </c>
      <c r="E5" s="15">
        <v>46259</v>
      </c>
      <c r="F5">
        <v>24500</v>
      </c>
      <c r="G5" t="s">
        <v>88</v>
      </c>
      <c r="H5">
        <v>-2037.75</v>
      </c>
      <c r="I5">
        <v>-65</v>
      </c>
      <c r="J5">
        <v>195.05</v>
      </c>
      <c r="K5" t="s">
        <v>91</v>
      </c>
      <c r="L5">
        <v>196.25</v>
      </c>
      <c r="M5">
        <v>65</v>
      </c>
      <c r="N5">
        <v>130</v>
      </c>
      <c r="O5">
        <v>179.98</v>
      </c>
      <c r="P5">
        <v>-546.33000000000004</v>
      </c>
      <c r="Q5">
        <v>163.69999999999999</v>
      </c>
      <c r="R5" t="s">
        <v>85</v>
      </c>
      <c r="S5">
        <v>-1057.8800000000001</v>
      </c>
      <c r="T5">
        <v>-979.88</v>
      </c>
      <c r="U5" t="s">
        <v>86</v>
      </c>
      <c r="V5">
        <v>196.25</v>
      </c>
      <c r="W5">
        <v>187.85</v>
      </c>
      <c r="X5">
        <v>12756.25</v>
      </c>
      <c r="Y5">
        <v>24419.85</v>
      </c>
      <c r="Z5">
        <v>-1014.65</v>
      </c>
      <c r="AA5">
        <v>-468.33</v>
      </c>
      <c r="AB5" t="s">
        <v>87</v>
      </c>
      <c r="AC5">
        <v>65</v>
      </c>
      <c r="AD5">
        <v>-1</v>
      </c>
      <c r="AE5">
        <v>1</v>
      </c>
      <c r="AF5">
        <v>2</v>
      </c>
      <c r="AG5" s="10">
        <f t="shared" si="0"/>
        <v>-12678.25</v>
      </c>
      <c r="AH5" s="10"/>
      <c r="AI5" s="9"/>
      <c r="AJ5" s="9"/>
      <c r="AK5" s="9"/>
      <c r="AL5" s="9"/>
    </row>
    <row r="6" spans="1:44">
      <c r="A6" t="s">
        <v>80</v>
      </c>
      <c r="B6" t="s">
        <v>81</v>
      </c>
      <c r="C6" t="s">
        <v>82</v>
      </c>
      <c r="D6" t="s">
        <v>39</v>
      </c>
      <c r="E6" s="15">
        <v>46252</v>
      </c>
      <c r="F6">
        <v>25000</v>
      </c>
      <c r="G6" t="s">
        <v>83</v>
      </c>
      <c r="H6">
        <v>-487.5</v>
      </c>
      <c r="I6">
        <v>0</v>
      </c>
      <c r="J6">
        <v>11</v>
      </c>
      <c r="K6" t="s">
        <v>92</v>
      </c>
      <c r="L6">
        <v>20.75</v>
      </c>
      <c r="M6">
        <v>65</v>
      </c>
      <c r="N6">
        <v>65</v>
      </c>
      <c r="O6">
        <v>13.25</v>
      </c>
      <c r="P6">
        <v>-487.5</v>
      </c>
      <c r="Q6">
        <v>0</v>
      </c>
      <c r="R6" t="s">
        <v>85</v>
      </c>
      <c r="S6">
        <v>-487.5</v>
      </c>
      <c r="T6">
        <v>0</v>
      </c>
      <c r="U6" t="s">
        <v>86</v>
      </c>
      <c r="V6">
        <v>20.75</v>
      </c>
      <c r="W6">
        <v>13.25</v>
      </c>
      <c r="X6">
        <v>1348.75</v>
      </c>
      <c r="Y6">
        <v>861.25</v>
      </c>
      <c r="Z6">
        <v>-487.5</v>
      </c>
      <c r="AA6">
        <v>0</v>
      </c>
      <c r="AB6" t="s">
        <v>87</v>
      </c>
      <c r="AC6">
        <v>65</v>
      </c>
      <c r="AD6">
        <v>0</v>
      </c>
      <c r="AE6">
        <v>1</v>
      </c>
      <c r="AF6">
        <v>1</v>
      </c>
      <c r="AG6" s="10">
        <f t="shared" si="0"/>
        <v>0</v>
      </c>
      <c r="AH6" s="10"/>
    </row>
    <row r="7" spans="1:44">
      <c r="A7" t="s">
        <v>80</v>
      </c>
      <c r="B7" t="s">
        <v>81</v>
      </c>
      <c r="C7" t="s">
        <v>82</v>
      </c>
      <c r="D7" t="s">
        <v>39</v>
      </c>
      <c r="E7" s="15">
        <v>46252</v>
      </c>
      <c r="F7">
        <v>24700</v>
      </c>
      <c r="G7" t="s">
        <v>83</v>
      </c>
      <c r="H7">
        <v>6656</v>
      </c>
      <c r="I7">
        <v>0</v>
      </c>
      <c r="J7">
        <v>58.05</v>
      </c>
      <c r="K7" t="s">
        <v>93</v>
      </c>
      <c r="L7">
        <v>79</v>
      </c>
      <c r="M7">
        <v>130</v>
      </c>
      <c r="N7">
        <v>130</v>
      </c>
      <c r="O7">
        <v>130.19999999999999</v>
      </c>
      <c r="P7">
        <v>11945.7</v>
      </c>
      <c r="Q7">
        <v>0</v>
      </c>
      <c r="R7" t="s">
        <v>85</v>
      </c>
      <c r="S7">
        <v>6656</v>
      </c>
      <c r="T7">
        <v>0</v>
      </c>
      <c r="U7" t="s">
        <v>86</v>
      </c>
      <c r="V7">
        <v>79</v>
      </c>
      <c r="W7">
        <v>170.89</v>
      </c>
      <c r="X7">
        <v>10270</v>
      </c>
      <c r="Y7">
        <v>22215.7</v>
      </c>
      <c r="Z7">
        <v>11945.7</v>
      </c>
      <c r="AA7">
        <v>0</v>
      </c>
      <c r="AB7" t="s">
        <v>87</v>
      </c>
      <c r="AC7">
        <v>65</v>
      </c>
      <c r="AD7">
        <v>0</v>
      </c>
      <c r="AE7">
        <v>2</v>
      </c>
      <c r="AF7">
        <v>2</v>
      </c>
      <c r="AG7" s="10">
        <f t="shared" si="0"/>
        <v>0</v>
      </c>
      <c r="AH7" s="10"/>
    </row>
    <row r="8" spans="1:44">
      <c r="A8" t="s">
        <v>80</v>
      </c>
      <c r="B8" t="s">
        <v>81</v>
      </c>
      <c r="C8" t="s">
        <v>82</v>
      </c>
      <c r="D8" t="s">
        <v>39</v>
      </c>
      <c r="E8" s="15">
        <v>46259</v>
      </c>
      <c r="F8">
        <v>24550</v>
      </c>
      <c r="G8" t="s">
        <v>88</v>
      </c>
      <c r="H8">
        <v>1069.25</v>
      </c>
      <c r="I8">
        <v>0</v>
      </c>
      <c r="J8">
        <v>219.8</v>
      </c>
      <c r="K8" t="s">
        <v>94</v>
      </c>
      <c r="L8">
        <v>211.8</v>
      </c>
      <c r="M8">
        <v>195</v>
      </c>
      <c r="N8">
        <v>195</v>
      </c>
      <c r="O8">
        <v>217.28</v>
      </c>
      <c r="P8">
        <v>1069.25</v>
      </c>
      <c r="Q8">
        <v>0</v>
      </c>
      <c r="R8" t="s">
        <v>85</v>
      </c>
      <c r="S8">
        <v>1069.25</v>
      </c>
      <c r="T8">
        <v>0</v>
      </c>
      <c r="U8" t="s">
        <v>86</v>
      </c>
      <c r="V8">
        <v>211.8</v>
      </c>
      <c r="W8">
        <v>217.28</v>
      </c>
      <c r="X8">
        <v>41301</v>
      </c>
      <c r="Y8">
        <v>42370.25</v>
      </c>
      <c r="Z8">
        <v>1069.25</v>
      </c>
      <c r="AA8">
        <v>0</v>
      </c>
      <c r="AB8" t="s">
        <v>87</v>
      </c>
      <c r="AC8">
        <v>65</v>
      </c>
      <c r="AD8">
        <v>0</v>
      </c>
      <c r="AE8">
        <v>3</v>
      </c>
      <c r="AF8">
        <v>3</v>
      </c>
      <c r="AG8" s="10">
        <f t="shared" si="0"/>
        <v>0</v>
      </c>
      <c r="AH8" s="10"/>
    </row>
    <row r="9" spans="1:44">
      <c r="A9" t="s">
        <v>80</v>
      </c>
      <c r="B9" t="s">
        <v>81</v>
      </c>
      <c r="C9" t="s">
        <v>82</v>
      </c>
      <c r="D9" t="s">
        <v>39</v>
      </c>
      <c r="E9" s="15">
        <v>46252</v>
      </c>
      <c r="F9">
        <v>25100</v>
      </c>
      <c r="G9" t="s">
        <v>83</v>
      </c>
      <c r="H9">
        <v>-640.25</v>
      </c>
      <c r="I9">
        <v>0</v>
      </c>
      <c r="J9">
        <v>6.2</v>
      </c>
      <c r="K9" t="s">
        <v>95</v>
      </c>
      <c r="L9">
        <v>22.65</v>
      </c>
      <c r="M9">
        <v>65</v>
      </c>
      <c r="N9">
        <v>65</v>
      </c>
      <c r="O9">
        <v>12.8</v>
      </c>
      <c r="P9">
        <v>-699.4</v>
      </c>
      <c r="Q9">
        <v>0</v>
      </c>
      <c r="R9" t="s">
        <v>85</v>
      </c>
      <c r="S9">
        <v>-640.25</v>
      </c>
      <c r="T9">
        <v>0</v>
      </c>
      <c r="U9" t="s">
        <v>86</v>
      </c>
      <c r="V9">
        <v>23.56</v>
      </c>
      <c r="W9">
        <v>12.8</v>
      </c>
      <c r="X9">
        <v>1531.4</v>
      </c>
      <c r="Y9">
        <v>832</v>
      </c>
      <c r="Z9">
        <v>-699.4</v>
      </c>
      <c r="AA9">
        <v>0</v>
      </c>
      <c r="AB9" t="s">
        <v>87</v>
      </c>
      <c r="AC9">
        <v>65</v>
      </c>
      <c r="AD9">
        <v>0</v>
      </c>
      <c r="AE9">
        <v>1</v>
      </c>
      <c r="AF9">
        <v>1</v>
      </c>
      <c r="AG9" s="10">
        <f t="shared" si="0"/>
        <v>0</v>
      </c>
      <c r="AH9" s="10"/>
    </row>
    <row r="10" spans="1:44">
      <c r="A10" t="s">
        <v>80</v>
      </c>
      <c r="B10" t="s">
        <v>81</v>
      </c>
      <c r="C10" t="s">
        <v>82</v>
      </c>
      <c r="D10" t="s">
        <v>39</v>
      </c>
      <c r="E10" s="15">
        <v>46252</v>
      </c>
      <c r="F10">
        <v>25150</v>
      </c>
      <c r="G10" t="s">
        <v>83</v>
      </c>
      <c r="H10">
        <v>-1007.5</v>
      </c>
      <c r="I10">
        <v>0</v>
      </c>
      <c r="J10">
        <v>5.0999999999999996</v>
      </c>
      <c r="K10" t="s">
        <v>96</v>
      </c>
      <c r="L10">
        <v>17.149999999999999</v>
      </c>
      <c r="M10">
        <v>130</v>
      </c>
      <c r="N10">
        <v>130</v>
      </c>
      <c r="O10">
        <v>9.4</v>
      </c>
      <c r="P10">
        <v>-1853.8</v>
      </c>
      <c r="Q10">
        <v>0</v>
      </c>
      <c r="R10" t="s">
        <v>85</v>
      </c>
      <c r="S10">
        <v>-1007.5</v>
      </c>
      <c r="T10">
        <v>0</v>
      </c>
      <c r="U10" t="s">
        <v>86</v>
      </c>
      <c r="V10">
        <v>23.66</v>
      </c>
      <c r="W10">
        <v>9.4</v>
      </c>
      <c r="X10">
        <v>3075.8</v>
      </c>
      <c r="Y10">
        <v>1222</v>
      </c>
      <c r="Z10">
        <v>-1853.8</v>
      </c>
      <c r="AA10">
        <v>0</v>
      </c>
      <c r="AB10" t="s">
        <v>87</v>
      </c>
      <c r="AC10">
        <v>65</v>
      </c>
      <c r="AD10">
        <v>0</v>
      </c>
      <c r="AE10">
        <v>2</v>
      </c>
      <c r="AF10">
        <v>2</v>
      </c>
      <c r="AG10" s="10">
        <f t="shared" si="0"/>
        <v>0</v>
      </c>
      <c r="AH10" s="10"/>
    </row>
    <row r="11" spans="1:44">
      <c r="A11" t="s">
        <v>80</v>
      </c>
      <c r="B11" t="s">
        <v>81</v>
      </c>
      <c r="C11" t="s">
        <v>82</v>
      </c>
      <c r="D11" t="s">
        <v>39</v>
      </c>
      <c r="E11" s="15">
        <v>46259</v>
      </c>
      <c r="F11">
        <v>24550</v>
      </c>
      <c r="G11" t="s">
        <v>83</v>
      </c>
      <c r="H11">
        <v>682.5</v>
      </c>
      <c r="I11">
        <v>0</v>
      </c>
      <c r="J11">
        <v>195.15</v>
      </c>
      <c r="K11" t="s">
        <v>97</v>
      </c>
      <c r="L11">
        <v>198.63</v>
      </c>
      <c r="M11">
        <v>195</v>
      </c>
      <c r="N11">
        <v>195</v>
      </c>
      <c r="O11">
        <v>202.13</v>
      </c>
      <c r="P11">
        <v>682.5</v>
      </c>
      <c r="Q11">
        <v>0</v>
      </c>
      <c r="R11" t="s">
        <v>85</v>
      </c>
      <c r="S11">
        <v>682.5</v>
      </c>
      <c r="T11">
        <v>0</v>
      </c>
      <c r="U11" t="s">
        <v>86</v>
      </c>
      <c r="V11">
        <v>198.63</v>
      </c>
      <c r="W11">
        <v>202.13</v>
      </c>
      <c r="X11">
        <v>38733.5</v>
      </c>
      <c r="Y11">
        <v>39416</v>
      </c>
      <c r="Z11">
        <v>682.5</v>
      </c>
      <c r="AA11">
        <v>0</v>
      </c>
      <c r="AB11" t="s">
        <v>87</v>
      </c>
      <c r="AC11">
        <v>65</v>
      </c>
      <c r="AD11">
        <v>0</v>
      </c>
      <c r="AE11">
        <v>3</v>
      </c>
      <c r="AF11">
        <v>3</v>
      </c>
      <c r="AG11" s="10">
        <f t="shared" si="0"/>
        <v>0</v>
      </c>
      <c r="AH11" s="10"/>
    </row>
    <row r="12" spans="1:44">
      <c r="A12" t="s">
        <v>80</v>
      </c>
      <c r="B12" t="s">
        <v>81</v>
      </c>
      <c r="C12" t="s">
        <v>82</v>
      </c>
      <c r="D12" t="s">
        <v>39</v>
      </c>
      <c r="E12" s="15">
        <v>46259</v>
      </c>
      <c r="F12">
        <v>24500</v>
      </c>
      <c r="G12" t="s">
        <v>83</v>
      </c>
      <c r="H12">
        <v>-6256.25</v>
      </c>
      <c r="I12">
        <v>65</v>
      </c>
      <c r="J12">
        <v>220.55</v>
      </c>
      <c r="K12" t="s">
        <v>98</v>
      </c>
      <c r="L12">
        <v>272.63</v>
      </c>
      <c r="M12">
        <v>130</v>
      </c>
      <c r="N12">
        <v>65</v>
      </c>
      <c r="O12">
        <v>228.45</v>
      </c>
      <c r="P12">
        <v>-3698.83</v>
      </c>
      <c r="Q12">
        <v>316.8</v>
      </c>
      <c r="R12" t="s">
        <v>85</v>
      </c>
      <c r="S12">
        <v>-2871.38</v>
      </c>
      <c r="T12">
        <v>-3384.88</v>
      </c>
      <c r="U12" t="s">
        <v>86</v>
      </c>
      <c r="V12">
        <v>285.36</v>
      </c>
      <c r="W12">
        <v>228.45</v>
      </c>
      <c r="X12">
        <v>37096.15</v>
      </c>
      <c r="Y12">
        <v>14849.25</v>
      </c>
      <c r="Z12">
        <v>-7911.15</v>
      </c>
      <c r="AA12">
        <v>-4212.33</v>
      </c>
      <c r="AB12" t="s">
        <v>87</v>
      </c>
      <c r="AC12">
        <v>65</v>
      </c>
      <c r="AD12">
        <v>1</v>
      </c>
      <c r="AE12">
        <v>2</v>
      </c>
      <c r="AF12">
        <v>1</v>
      </c>
      <c r="AG12" s="10">
        <f t="shared" si="0"/>
        <v>14335.75</v>
      </c>
      <c r="AH12" s="10"/>
    </row>
    <row r="13" spans="1:44">
      <c r="A13" t="s">
        <v>80</v>
      </c>
      <c r="B13" t="s">
        <v>81</v>
      </c>
      <c r="C13" t="s">
        <v>82</v>
      </c>
      <c r="D13" t="s">
        <v>39</v>
      </c>
      <c r="E13" s="15">
        <v>46252</v>
      </c>
      <c r="F13">
        <v>24900</v>
      </c>
      <c r="G13" t="s">
        <v>83</v>
      </c>
      <c r="H13">
        <v>-429</v>
      </c>
      <c r="I13">
        <v>130</v>
      </c>
      <c r="J13">
        <v>19.149999999999999</v>
      </c>
      <c r="K13" t="s">
        <v>99</v>
      </c>
      <c r="L13">
        <v>22.45</v>
      </c>
      <c r="M13">
        <v>130</v>
      </c>
      <c r="N13">
        <v>0</v>
      </c>
      <c r="O13">
        <v>0</v>
      </c>
      <c r="P13">
        <v>0</v>
      </c>
      <c r="Q13">
        <v>22.45</v>
      </c>
      <c r="R13" t="s">
        <v>85</v>
      </c>
      <c r="S13">
        <v>0</v>
      </c>
      <c r="T13">
        <v>-429</v>
      </c>
      <c r="U13" t="s">
        <v>86</v>
      </c>
      <c r="V13">
        <v>22.45</v>
      </c>
      <c r="W13">
        <v>0</v>
      </c>
      <c r="X13">
        <v>2918.5</v>
      </c>
      <c r="Y13">
        <v>0</v>
      </c>
      <c r="Z13">
        <v>-429</v>
      </c>
      <c r="AA13">
        <v>-429</v>
      </c>
      <c r="AB13" t="s">
        <v>87</v>
      </c>
      <c r="AC13">
        <v>65</v>
      </c>
      <c r="AD13">
        <v>2</v>
      </c>
      <c r="AE13">
        <v>2</v>
      </c>
      <c r="AF13">
        <v>0</v>
      </c>
      <c r="AG13" s="10">
        <f t="shared" si="0"/>
        <v>2489.5</v>
      </c>
      <c r="AH13" s="10"/>
    </row>
    <row r="14" spans="1:44">
      <c r="A14" t="s">
        <v>80</v>
      </c>
      <c r="B14" t="s">
        <v>81</v>
      </c>
      <c r="C14" t="s">
        <v>82</v>
      </c>
      <c r="D14" t="s">
        <v>39</v>
      </c>
      <c r="E14" s="15">
        <v>46252</v>
      </c>
      <c r="F14">
        <v>24050</v>
      </c>
      <c r="G14" t="s">
        <v>88</v>
      </c>
      <c r="H14">
        <v>471.25</v>
      </c>
      <c r="I14">
        <v>260</v>
      </c>
      <c r="J14">
        <v>22.7</v>
      </c>
      <c r="K14" t="s">
        <v>100</v>
      </c>
      <c r="L14">
        <v>20.89</v>
      </c>
      <c r="M14">
        <v>260</v>
      </c>
      <c r="N14">
        <v>0</v>
      </c>
      <c r="O14">
        <v>0</v>
      </c>
      <c r="P14">
        <v>0</v>
      </c>
      <c r="Q14">
        <v>20.89</v>
      </c>
      <c r="R14" t="s">
        <v>85</v>
      </c>
      <c r="S14">
        <v>0</v>
      </c>
      <c r="T14">
        <v>471.25</v>
      </c>
      <c r="U14" t="s">
        <v>86</v>
      </c>
      <c r="V14">
        <v>20.94</v>
      </c>
      <c r="W14">
        <v>0</v>
      </c>
      <c r="X14">
        <v>5444.4</v>
      </c>
      <c r="Y14">
        <v>0</v>
      </c>
      <c r="Z14">
        <v>457.6</v>
      </c>
      <c r="AA14">
        <v>457.6</v>
      </c>
      <c r="AB14" t="s">
        <v>87</v>
      </c>
      <c r="AC14">
        <v>65</v>
      </c>
      <c r="AD14">
        <v>4</v>
      </c>
      <c r="AE14">
        <v>4</v>
      </c>
      <c r="AF14">
        <v>0</v>
      </c>
      <c r="AG14" s="10">
        <f t="shared" si="0"/>
        <v>5902</v>
      </c>
      <c r="AH14" s="10"/>
    </row>
    <row r="15" spans="1:44">
      <c r="A15" t="s">
        <v>80</v>
      </c>
      <c r="B15" t="s">
        <v>81</v>
      </c>
      <c r="C15" t="s">
        <v>82</v>
      </c>
      <c r="D15" t="s">
        <v>39</v>
      </c>
      <c r="E15" s="15">
        <v>46252</v>
      </c>
      <c r="F15">
        <v>24000</v>
      </c>
      <c r="G15" t="s">
        <v>88</v>
      </c>
      <c r="H15">
        <v>-539.5</v>
      </c>
      <c r="I15">
        <v>260</v>
      </c>
      <c r="J15">
        <v>19.05</v>
      </c>
      <c r="K15" t="s">
        <v>101</v>
      </c>
      <c r="L15">
        <v>21.13</v>
      </c>
      <c r="M15">
        <v>260</v>
      </c>
      <c r="N15">
        <v>0</v>
      </c>
      <c r="O15">
        <v>0</v>
      </c>
      <c r="P15">
        <v>0</v>
      </c>
      <c r="Q15">
        <v>21.13</v>
      </c>
      <c r="R15" t="s">
        <v>85</v>
      </c>
      <c r="S15">
        <v>0</v>
      </c>
      <c r="T15">
        <v>-539.5</v>
      </c>
      <c r="U15" t="s">
        <v>86</v>
      </c>
      <c r="V15">
        <v>21.98</v>
      </c>
      <c r="W15">
        <v>0</v>
      </c>
      <c r="X15">
        <v>5714.15</v>
      </c>
      <c r="Y15">
        <v>0</v>
      </c>
      <c r="Z15">
        <v>-761.15</v>
      </c>
      <c r="AA15">
        <v>-761.15</v>
      </c>
      <c r="AB15" t="s">
        <v>87</v>
      </c>
      <c r="AC15">
        <v>65</v>
      </c>
      <c r="AD15">
        <v>4</v>
      </c>
      <c r="AE15">
        <v>4</v>
      </c>
      <c r="AF15">
        <v>0</v>
      </c>
      <c r="AG15" s="10">
        <f t="shared" si="0"/>
        <v>4953</v>
      </c>
      <c r="AH15" s="10"/>
    </row>
    <row r="30" spans="1:29">
      <c r="A30" t="s">
        <v>50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116</v>
      </c>
      <c r="Q30" t="s">
        <v>117</v>
      </c>
      <c r="R30" t="s">
        <v>118</v>
      </c>
      <c r="S30" t="s">
        <v>119</v>
      </c>
      <c r="T30" t="s">
        <v>120</v>
      </c>
      <c r="U30" t="s">
        <v>121</v>
      </c>
      <c r="V30" t="s">
        <v>122</v>
      </c>
      <c r="W30" t="s">
        <v>123</v>
      </c>
      <c r="X30" t="s">
        <v>124</v>
      </c>
      <c r="Y30" t="s">
        <v>125</v>
      </c>
      <c r="Z30" t="s">
        <v>126</v>
      </c>
      <c r="AA30" t="s">
        <v>127</v>
      </c>
      <c r="AB30" t="s">
        <v>128</v>
      </c>
      <c r="AC30" t="s">
        <v>129</v>
      </c>
    </row>
    <row r="31" spans="1:29">
      <c r="A31" t="s">
        <v>130</v>
      </c>
      <c r="B31" t="s">
        <v>81</v>
      </c>
      <c r="C31" t="s">
        <v>131</v>
      </c>
      <c r="D31" t="s">
        <v>82</v>
      </c>
      <c r="E31" t="s">
        <v>132</v>
      </c>
      <c r="F31" t="s">
        <v>133</v>
      </c>
      <c r="G31">
        <v>65</v>
      </c>
      <c r="H31">
        <v>130</v>
      </c>
      <c r="I31" s="16">
        <v>0.63837962962962957</v>
      </c>
      <c r="J31">
        <v>1210128252</v>
      </c>
      <c r="K31" t="s">
        <v>134</v>
      </c>
      <c r="L31">
        <v>22.45</v>
      </c>
      <c r="M31">
        <v>0</v>
      </c>
      <c r="N31" s="16">
        <v>0.63837962962962957</v>
      </c>
      <c r="O31" t="s">
        <v>135</v>
      </c>
      <c r="P31">
        <v>1100000144889180</v>
      </c>
      <c r="Q31" t="s">
        <v>130</v>
      </c>
      <c r="S31" t="s">
        <v>136</v>
      </c>
      <c r="T31" t="s">
        <v>137</v>
      </c>
      <c r="U31" t="s">
        <v>130</v>
      </c>
      <c r="V31" t="s">
        <v>138</v>
      </c>
      <c r="W31">
        <v>0</v>
      </c>
      <c r="X31" t="s">
        <v>139</v>
      </c>
      <c r="Y31">
        <v>22.45</v>
      </c>
      <c r="Z31">
        <v>2918.5</v>
      </c>
      <c r="AC31">
        <v>0</v>
      </c>
    </row>
    <row r="32" spans="1:29">
      <c r="A32" t="s">
        <v>130</v>
      </c>
      <c r="B32" t="s">
        <v>81</v>
      </c>
      <c r="C32" t="s">
        <v>131</v>
      </c>
      <c r="D32" t="s">
        <v>82</v>
      </c>
      <c r="E32" t="s">
        <v>132</v>
      </c>
      <c r="F32" t="s">
        <v>133</v>
      </c>
      <c r="G32">
        <v>65</v>
      </c>
      <c r="H32">
        <v>130</v>
      </c>
      <c r="I32" s="16">
        <v>0.63837962962962957</v>
      </c>
      <c r="J32">
        <v>1210128252</v>
      </c>
      <c r="K32" t="s">
        <v>134</v>
      </c>
      <c r="L32">
        <v>22.45</v>
      </c>
      <c r="M32">
        <v>0</v>
      </c>
      <c r="N32" s="16">
        <v>0.63837962962962957</v>
      </c>
      <c r="O32" t="s">
        <v>140</v>
      </c>
      <c r="P32">
        <v>1100000144889180</v>
      </c>
      <c r="Q32" t="s">
        <v>130</v>
      </c>
      <c r="S32" t="s">
        <v>136</v>
      </c>
      <c r="T32" t="s">
        <v>137</v>
      </c>
      <c r="U32" t="s">
        <v>130</v>
      </c>
      <c r="V32" t="s">
        <v>138</v>
      </c>
      <c r="W32">
        <v>65</v>
      </c>
      <c r="X32" t="s">
        <v>139</v>
      </c>
      <c r="Y32">
        <v>22.45</v>
      </c>
      <c r="Z32">
        <v>1459.25</v>
      </c>
      <c r="AC32">
        <v>0</v>
      </c>
    </row>
    <row r="33" spans="1:29">
      <c r="A33" t="s">
        <v>130</v>
      </c>
      <c r="B33" t="s">
        <v>81</v>
      </c>
      <c r="C33" t="s">
        <v>141</v>
      </c>
      <c r="D33" t="s">
        <v>82</v>
      </c>
      <c r="E33" t="s">
        <v>132</v>
      </c>
      <c r="F33" t="s">
        <v>142</v>
      </c>
      <c r="G33">
        <v>65</v>
      </c>
      <c r="H33">
        <v>65</v>
      </c>
      <c r="I33" s="16">
        <v>0.63812500000000005</v>
      </c>
      <c r="J33">
        <v>1210128228</v>
      </c>
      <c r="K33" t="s">
        <v>134</v>
      </c>
      <c r="L33">
        <v>13.25</v>
      </c>
      <c r="M33">
        <v>0</v>
      </c>
      <c r="N33" s="16">
        <v>0.63812500000000005</v>
      </c>
      <c r="O33" t="s">
        <v>135</v>
      </c>
      <c r="P33">
        <v>1300000125509640</v>
      </c>
      <c r="Q33" t="s">
        <v>130</v>
      </c>
      <c r="S33" t="s">
        <v>136</v>
      </c>
      <c r="T33" t="s">
        <v>137</v>
      </c>
      <c r="U33" t="s">
        <v>130</v>
      </c>
      <c r="V33" t="s">
        <v>138</v>
      </c>
      <c r="W33">
        <v>0</v>
      </c>
      <c r="X33" t="s">
        <v>139</v>
      </c>
      <c r="Y33">
        <v>13.25</v>
      </c>
      <c r="Z33">
        <v>861.25</v>
      </c>
      <c r="AC33">
        <v>0</v>
      </c>
    </row>
    <row r="34" spans="1:29">
      <c r="A34" t="s">
        <v>130</v>
      </c>
      <c r="B34" t="s">
        <v>81</v>
      </c>
      <c r="C34" t="s">
        <v>143</v>
      </c>
      <c r="D34" t="s">
        <v>82</v>
      </c>
      <c r="E34" t="s">
        <v>132</v>
      </c>
      <c r="F34" t="s">
        <v>133</v>
      </c>
      <c r="G34">
        <v>195</v>
      </c>
      <c r="H34">
        <v>195</v>
      </c>
      <c r="I34" s="16">
        <v>0.63775462962962959</v>
      </c>
      <c r="J34">
        <v>1210127189</v>
      </c>
      <c r="K34" t="s">
        <v>134</v>
      </c>
      <c r="L34">
        <v>21.1</v>
      </c>
      <c r="M34">
        <v>0</v>
      </c>
      <c r="N34" s="16">
        <v>0.63775462962962959</v>
      </c>
      <c r="O34" t="s">
        <v>135</v>
      </c>
      <c r="P34">
        <v>1500000140913960</v>
      </c>
      <c r="Q34" t="s">
        <v>130</v>
      </c>
      <c r="S34" t="s">
        <v>136</v>
      </c>
      <c r="T34" t="s">
        <v>137</v>
      </c>
      <c r="U34" t="s">
        <v>130</v>
      </c>
      <c r="V34" t="s">
        <v>138</v>
      </c>
      <c r="W34">
        <v>0</v>
      </c>
      <c r="X34" t="s">
        <v>139</v>
      </c>
      <c r="Y34">
        <v>21.1</v>
      </c>
      <c r="Z34">
        <v>4114.5</v>
      </c>
      <c r="AC34">
        <v>0</v>
      </c>
    </row>
    <row r="35" spans="1:29">
      <c r="A35" t="s">
        <v>130</v>
      </c>
      <c r="B35" t="s">
        <v>81</v>
      </c>
      <c r="C35" t="s">
        <v>144</v>
      </c>
      <c r="D35" t="s">
        <v>82</v>
      </c>
      <c r="E35" t="s">
        <v>132</v>
      </c>
      <c r="F35" t="s">
        <v>142</v>
      </c>
      <c r="G35">
        <v>65</v>
      </c>
      <c r="H35">
        <v>65</v>
      </c>
      <c r="I35" s="16">
        <v>0.63542824074074078</v>
      </c>
      <c r="J35">
        <v>1210112661</v>
      </c>
      <c r="K35" t="s">
        <v>134</v>
      </c>
      <c r="L35">
        <v>204.6</v>
      </c>
      <c r="M35">
        <v>0</v>
      </c>
      <c r="N35" s="16">
        <v>0.63542824074074078</v>
      </c>
      <c r="O35" t="s">
        <v>135</v>
      </c>
      <c r="P35">
        <v>1100000143017670</v>
      </c>
      <c r="Q35" t="s">
        <v>130</v>
      </c>
      <c r="S35" t="s">
        <v>136</v>
      </c>
      <c r="T35" t="s">
        <v>145</v>
      </c>
      <c r="U35" t="s">
        <v>130</v>
      </c>
      <c r="V35" t="s">
        <v>138</v>
      </c>
      <c r="W35">
        <v>0</v>
      </c>
      <c r="X35" t="s">
        <v>139</v>
      </c>
      <c r="Y35">
        <v>209.1</v>
      </c>
      <c r="Z35">
        <v>13591.5</v>
      </c>
      <c r="AC35">
        <v>0</v>
      </c>
    </row>
    <row r="36" spans="1:29">
      <c r="A36" t="s">
        <v>130</v>
      </c>
      <c r="B36" t="s">
        <v>81</v>
      </c>
      <c r="C36" t="s">
        <v>146</v>
      </c>
      <c r="D36" t="s">
        <v>82</v>
      </c>
      <c r="E36" t="s">
        <v>132</v>
      </c>
      <c r="F36" t="s">
        <v>133</v>
      </c>
      <c r="G36">
        <v>65</v>
      </c>
      <c r="H36">
        <v>65</v>
      </c>
      <c r="I36" s="16">
        <v>0.63541666666666663</v>
      </c>
      <c r="J36">
        <v>1210112660</v>
      </c>
      <c r="K36" t="s">
        <v>134</v>
      </c>
      <c r="L36">
        <v>206.5</v>
      </c>
      <c r="M36">
        <v>0</v>
      </c>
      <c r="N36" s="16">
        <v>0.63541666666666663</v>
      </c>
      <c r="O36" t="s">
        <v>135</v>
      </c>
      <c r="P36">
        <v>1100000143012410</v>
      </c>
      <c r="Q36" t="s">
        <v>130</v>
      </c>
      <c r="S36" t="s">
        <v>136</v>
      </c>
      <c r="T36" t="s">
        <v>145</v>
      </c>
      <c r="U36" t="s">
        <v>130</v>
      </c>
      <c r="V36" t="s">
        <v>138</v>
      </c>
      <c r="W36">
        <v>0</v>
      </c>
      <c r="X36" t="s">
        <v>139</v>
      </c>
      <c r="Y36">
        <v>202.5</v>
      </c>
      <c r="Z36">
        <v>13162.5</v>
      </c>
      <c r="AC36">
        <v>0</v>
      </c>
    </row>
    <row r="37" spans="1:29">
      <c r="A37" t="s">
        <v>130</v>
      </c>
      <c r="B37" t="s">
        <v>81</v>
      </c>
      <c r="C37" t="s">
        <v>146</v>
      </c>
      <c r="D37" t="s">
        <v>82</v>
      </c>
      <c r="E37" t="s">
        <v>132</v>
      </c>
      <c r="F37" t="s">
        <v>142</v>
      </c>
      <c r="G37">
        <v>65</v>
      </c>
      <c r="H37">
        <v>65</v>
      </c>
      <c r="I37" s="16">
        <v>0.62434027777777779</v>
      </c>
      <c r="J37">
        <v>1210112446</v>
      </c>
      <c r="K37" t="s">
        <v>134</v>
      </c>
      <c r="L37">
        <v>198.1</v>
      </c>
      <c r="M37">
        <v>0</v>
      </c>
      <c r="N37" s="16">
        <v>0.62434027777777779</v>
      </c>
      <c r="O37" t="s">
        <v>135</v>
      </c>
      <c r="P37">
        <v>1100000134732120</v>
      </c>
      <c r="Q37" t="s">
        <v>130</v>
      </c>
      <c r="S37" t="s">
        <v>136</v>
      </c>
      <c r="T37" t="s">
        <v>145</v>
      </c>
      <c r="U37" t="s">
        <v>130</v>
      </c>
      <c r="V37" t="s">
        <v>138</v>
      </c>
      <c r="W37">
        <v>0</v>
      </c>
      <c r="X37" t="s">
        <v>139</v>
      </c>
      <c r="Y37">
        <v>202.1</v>
      </c>
      <c r="Z37">
        <v>13136.5</v>
      </c>
      <c r="AC37">
        <v>0</v>
      </c>
    </row>
    <row r="38" spans="1:29">
      <c r="A38" t="s">
        <v>130</v>
      </c>
      <c r="B38" t="s">
        <v>81</v>
      </c>
      <c r="C38" t="s">
        <v>144</v>
      </c>
      <c r="D38" t="s">
        <v>82</v>
      </c>
      <c r="E38" t="s">
        <v>132</v>
      </c>
      <c r="F38" t="s">
        <v>133</v>
      </c>
      <c r="G38">
        <v>65</v>
      </c>
      <c r="H38">
        <v>65</v>
      </c>
      <c r="I38" s="16">
        <v>0.62432870370370375</v>
      </c>
      <c r="J38">
        <v>1210112445</v>
      </c>
      <c r="K38" t="s">
        <v>134</v>
      </c>
      <c r="L38">
        <v>211.7</v>
      </c>
      <c r="M38">
        <v>0</v>
      </c>
      <c r="N38" s="16">
        <v>0.62432870370370375</v>
      </c>
      <c r="O38" t="s">
        <v>135</v>
      </c>
      <c r="P38">
        <v>1100000134724580</v>
      </c>
      <c r="Q38" t="s">
        <v>130</v>
      </c>
      <c r="S38" t="s">
        <v>136</v>
      </c>
      <c r="T38" t="s">
        <v>145</v>
      </c>
      <c r="U38" t="s">
        <v>130</v>
      </c>
      <c r="V38" t="s">
        <v>138</v>
      </c>
      <c r="W38">
        <v>0</v>
      </c>
      <c r="X38" t="s">
        <v>139</v>
      </c>
      <c r="Y38">
        <v>208.25</v>
      </c>
      <c r="Z38">
        <v>13536.25</v>
      </c>
      <c r="AC38">
        <v>0</v>
      </c>
    </row>
    <row r="39" spans="1:29">
      <c r="A39" t="s">
        <v>130</v>
      </c>
      <c r="B39" t="s">
        <v>81</v>
      </c>
      <c r="C39" t="s">
        <v>146</v>
      </c>
      <c r="D39" t="s">
        <v>82</v>
      </c>
      <c r="E39" t="s">
        <v>132</v>
      </c>
      <c r="F39" t="s">
        <v>142</v>
      </c>
      <c r="G39">
        <v>65</v>
      </c>
      <c r="H39">
        <v>65</v>
      </c>
      <c r="I39" s="16">
        <v>0.62432870370370375</v>
      </c>
      <c r="J39">
        <v>1210112444</v>
      </c>
      <c r="K39" t="s">
        <v>134</v>
      </c>
      <c r="L39">
        <v>198.1</v>
      </c>
      <c r="M39">
        <v>0</v>
      </c>
      <c r="N39" s="16">
        <v>0.62432870370370375</v>
      </c>
      <c r="O39" t="s">
        <v>135</v>
      </c>
      <c r="P39">
        <v>1100000134723510</v>
      </c>
      <c r="Q39" t="s">
        <v>130</v>
      </c>
      <c r="S39" t="s">
        <v>136</v>
      </c>
      <c r="T39" t="s">
        <v>145</v>
      </c>
      <c r="U39" t="s">
        <v>130</v>
      </c>
      <c r="V39" t="s">
        <v>138</v>
      </c>
      <c r="W39">
        <v>0</v>
      </c>
      <c r="X39" t="s">
        <v>139</v>
      </c>
      <c r="Y39">
        <v>201.65</v>
      </c>
      <c r="Z39">
        <v>13107.25</v>
      </c>
      <c r="AC39">
        <v>0</v>
      </c>
    </row>
    <row r="40" spans="1:29">
      <c r="A40" t="s">
        <v>130</v>
      </c>
      <c r="B40" t="s">
        <v>81</v>
      </c>
      <c r="C40" t="s">
        <v>144</v>
      </c>
      <c r="D40" t="s">
        <v>82</v>
      </c>
      <c r="E40" t="s">
        <v>132</v>
      </c>
      <c r="F40" t="s">
        <v>133</v>
      </c>
      <c r="G40">
        <v>65</v>
      </c>
      <c r="H40">
        <v>65</v>
      </c>
      <c r="I40" s="16">
        <v>0.6243171296296296</v>
      </c>
      <c r="J40">
        <v>1210112443</v>
      </c>
      <c r="K40" t="s">
        <v>134</v>
      </c>
      <c r="L40">
        <v>211.7</v>
      </c>
      <c r="M40">
        <v>0</v>
      </c>
      <c r="N40" s="16">
        <v>0.6243171296296296</v>
      </c>
      <c r="O40" t="s">
        <v>135</v>
      </c>
      <c r="P40">
        <v>1100000134718790</v>
      </c>
      <c r="Q40" t="s">
        <v>130</v>
      </c>
      <c r="S40" t="s">
        <v>136</v>
      </c>
      <c r="T40" t="s">
        <v>145</v>
      </c>
      <c r="U40" t="s">
        <v>130</v>
      </c>
      <c r="V40" t="s">
        <v>138</v>
      </c>
      <c r="W40">
        <v>0</v>
      </c>
      <c r="X40" t="s">
        <v>139</v>
      </c>
      <c r="Y40">
        <v>208.25</v>
      </c>
      <c r="Z40">
        <v>13536.25</v>
      </c>
      <c r="AC40">
        <v>0</v>
      </c>
    </row>
    <row r="41" spans="1:29">
      <c r="A41" t="s">
        <v>130</v>
      </c>
      <c r="B41" t="s">
        <v>81</v>
      </c>
      <c r="C41" t="s">
        <v>144</v>
      </c>
      <c r="D41" t="s">
        <v>82</v>
      </c>
      <c r="E41" t="s">
        <v>132</v>
      </c>
      <c r="F41" t="s">
        <v>142</v>
      </c>
      <c r="G41">
        <v>65</v>
      </c>
      <c r="H41">
        <v>65</v>
      </c>
      <c r="I41" s="16">
        <v>0.58758101851851852</v>
      </c>
      <c r="J41">
        <v>1210029041</v>
      </c>
      <c r="K41" t="s">
        <v>134</v>
      </c>
      <c r="L41">
        <v>217.2</v>
      </c>
      <c r="M41">
        <v>0</v>
      </c>
      <c r="N41" s="16">
        <v>0.58758101851851852</v>
      </c>
      <c r="O41" t="s">
        <v>135</v>
      </c>
      <c r="P41">
        <v>1100000115901490</v>
      </c>
      <c r="Q41" t="s">
        <v>130</v>
      </c>
      <c r="S41" t="s">
        <v>136</v>
      </c>
      <c r="T41" t="s">
        <v>145</v>
      </c>
      <c r="U41" t="s">
        <v>130</v>
      </c>
      <c r="V41" t="s">
        <v>138</v>
      </c>
      <c r="W41">
        <v>0</v>
      </c>
      <c r="X41" t="s">
        <v>139</v>
      </c>
      <c r="Y41">
        <v>221.1</v>
      </c>
      <c r="Z41">
        <v>14371.5</v>
      </c>
      <c r="AC41">
        <v>0</v>
      </c>
    </row>
    <row r="42" spans="1:29">
      <c r="A42" t="s">
        <v>130</v>
      </c>
      <c r="B42" t="s">
        <v>81</v>
      </c>
      <c r="C42" t="s">
        <v>144</v>
      </c>
      <c r="D42" t="s">
        <v>82</v>
      </c>
      <c r="E42" t="s">
        <v>132</v>
      </c>
      <c r="F42" t="s">
        <v>142</v>
      </c>
      <c r="G42">
        <v>65</v>
      </c>
      <c r="H42">
        <v>65</v>
      </c>
      <c r="I42" s="16">
        <v>0.58755787037037033</v>
      </c>
      <c r="J42">
        <v>1210029040</v>
      </c>
      <c r="K42" t="s">
        <v>134</v>
      </c>
      <c r="L42">
        <v>217.6</v>
      </c>
      <c r="M42">
        <v>0</v>
      </c>
      <c r="N42" s="16">
        <v>0.58755787037037033</v>
      </c>
      <c r="O42" t="s">
        <v>135</v>
      </c>
      <c r="P42">
        <v>1100000115889380</v>
      </c>
      <c r="Q42" t="s">
        <v>130</v>
      </c>
      <c r="S42" t="s">
        <v>136</v>
      </c>
      <c r="T42" t="s">
        <v>145</v>
      </c>
      <c r="U42" t="s">
        <v>130</v>
      </c>
      <c r="V42" t="s">
        <v>138</v>
      </c>
      <c r="W42">
        <v>0</v>
      </c>
      <c r="X42" t="s">
        <v>139</v>
      </c>
      <c r="Y42">
        <v>221.65</v>
      </c>
      <c r="Z42">
        <v>14407.25</v>
      </c>
      <c r="AC42">
        <v>0</v>
      </c>
    </row>
    <row r="43" spans="1:29">
      <c r="A43" t="s">
        <v>130</v>
      </c>
      <c r="B43" t="s">
        <v>81</v>
      </c>
      <c r="C43" t="s">
        <v>146</v>
      </c>
      <c r="D43" t="s">
        <v>82</v>
      </c>
      <c r="E43" t="s">
        <v>132</v>
      </c>
      <c r="F43" t="s">
        <v>133</v>
      </c>
      <c r="G43">
        <v>65</v>
      </c>
      <c r="H43">
        <v>65</v>
      </c>
      <c r="I43" s="16">
        <v>0.58755787037037033</v>
      </c>
      <c r="J43">
        <v>1210029039</v>
      </c>
      <c r="K43" t="s">
        <v>134</v>
      </c>
      <c r="L43">
        <v>200.6</v>
      </c>
      <c r="M43">
        <v>0</v>
      </c>
      <c r="N43" s="16">
        <v>0.58755787037037033</v>
      </c>
      <c r="O43" t="s">
        <v>135</v>
      </c>
      <c r="P43">
        <v>1100000115889170</v>
      </c>
      <c r="Q43" t="s">
        <v>130</v>
      </c>
      <c r="S43" t="s">
        <v>136</v>
      </c>
      <c r="T43" t="s">
        <v>145</v>
      </c>
      <c r="U43" t="s">
        <v>130</v>
      </c>
      <c r="V43" t="s">
        <v>138</v>
      </c>
      <c r="W43">
        <v>0</v>
      </c>
      <c r="X43" t="s">
        <v>139</v>
      </c>
      <c r="Y43">
        <v>196.7</v>
      </c>
      <c r="Z43">
        <v>12785.5</v>
      </c>
      <c r="AC43">
        <v>0</v>
      </c>
    </row>
    <row r="44" spans="1:29">
      <c r="A44" t="s">
        <v>130</v>
      </c>
      <c r="B44" t="s">
        <v>81</v>
      </c>
      <c r="C44" t="s">
        <v>146</v>
      </c>
      <c r="D44" t="s">
        <v>82</v>
      </c>
      <c r="E44" t="s">
        <v>132</v>
      </c>
      <c r="F44" t="s">
        <v>133</v>
      </c>
      <c r="G44">
        <v>65</v>
      </c>
      <c r="H44">
        <v>65</v>
      </c>
      <c r="I44" s="16">
        <v>0.58754629629629629</v>
      </c>
      <c r="J44">
        <v>1210029038</v>
      </c>
      <c r="K44" t="s">
        <v>134</v>
      </c>
      <c r="L44">
        <v>200.6</v>
      </c>
      <c r="M44">
        <v>0</v>
      </c>
      <c r="N44" s="16">
        <v>0.58754629629629629</v>
      </c>
      <c r="O44" t="s">
        <v>135</v>
      </c>
      <c r="P44">
        <v>1100000115879950</v>
      </c>
      <c r="Q44" t="s">
        <v>130</v>
      </c>
      <c r="S44" t="s">
        <v>136</v>
      </c>
      <c r="T44" t="s">
        <v>145</v>
      </c>
      <c r="U44" t="s">
        <v>130</v>
      </c>
      <c r="V44" t="s">
        <v>138</v>
      </c>
      <c r="W44">
        <v>0</v>
      </c>
      <c r="X44" t="s">
        <v>139</v>
      </c>
      <c r="Y44">
        <v>196.7</v>
      </c>
      <c r="Z44">
        <v>12785.5</v>
      </c>
      <c r="AC44">
        <v>0</v>
      </c>
    </row>
    <row r="45" spans="1:29">
      <c r="A45" t="s">
        <v>130</v>
      </c>
      <c r="B45" t="s">
        <v>81</v>
      </c>
      <c r="C45" t="s">
        <v>147</v>
      </c>
      <c r="D45" t="s">
        <v>82</v>
      </c>
      <c r="E45" t="s">
        <v>132</v>
      </c>
      <c r="F45" t="s">
        <v>142</v>
      </c>
      <c r="G45">
        <v>65</v>
      </c>
      <c r="H45">
        <v>65</v>
      </c>
      <c r="I45" s="16">
        <v>0.53341435185185182</v>
      </c>
      <c r="J45">
        <v>1210028917</v>
      </c>
      <c r="K45" t="s">
        <v>134</v>
      </c>
      <c r="L45">
        <v>224.6</v>
      </c>
      <c r="M45">
        <v>0</v>
      </c>
      <c r="N45" s="16">
        <v>0.53341435185185182</v>
      </c>
      <c r="O45" t="s">
        <v>135</v>
      </c>
      <c r="P45">
        <v>1000000100712530</v>
      </c>
      <c r="Q45" t="s">
        <v>130</v>
      </c>
      <c r="S45" t="s">
        <v>136</v>
      </c>
      <c r="T45" t="s">
        <v>145</v>
      </c>
      <c r="U45" t="s">
        <v>130</v>
      </c>
      <c r="V45" t="s">
        <v>138</v>
      </c>
      <c r="W45">
        <v>0</v>
      </c>
      <c r="X45" t="s">
        <v>139</v>
      </c>
      <c r="Y45">
        <v>228.45</v>
      </c>
      <c r="Z45">
        <v>14849.25</v>
      </c>
      <c r="AC45">
        <v>0</v>
      </c>
    </row>
    <row r="46" spans="1:29">
      <c r="A46" t="s">
        <v>130</v>
      </c>
      <c r="B46" t="s">
        <v>81</v>
      </c>
      <c r="C46" t="s">
        <v>146</v>
      </c>
      <c r="D46" t="s">
        <v>82</v>
      </c>
      <c r="E46" t="s">
        <v>132</v>
      </c>
      <c r="F46" t="s">
        <v>142</v>
      </c>
      <c r="G46">
        <v>65</v>
      </c>
      <c r="H46">
        <v>65</v>
      </c>
      <c r="I46" s="16">
        <v>0.53340277777777778</v>
      </c>
      <c r="J46">
        <v>1210028916</v>
      </c>
      <c r="K46" t="s">
        <v>134</v>
      </c>
      <c r="L46">
        <v>198.7</v>
      </c>
      <c r="M46">
        <v>0</v>
      </c>
      <c r="N46" s="16">
        <v>0.53340277777777778</v>
      </c>
      <c r="O46" t="s">
        <v>135</v>
      </c>
      <c r="P46">
        <v>1100000088674440</v>
      </c>
      <c r="Q46" t="s">
        <v>130</v>
      </c>
      <c r="S46" t="s">
        <v>136</v>
      </c>
      <c r="T46" t="s">
        <v>145</v>
      </c>
      <c r="U46" t="s">
        <v>130</v>
      </c>
      <c r="V46" t="s">
        <v>138</v>
      </c>
      <c r="W46">
        <v>0</v>
      </c>
      <c r="X46" t="s">
        <v>139</v>
      </c>
      <c r="Y46">
        <v>202.65</v>
      </c>
      <c r="Z46">
        <v>13172.25</v>
      </c>
      <c r="AC46">
        <v>0</v>
      </c>
    </row>
    <row r="47" spans="1:29">
      <c r="A47" t="s">
        <v>130</v>
      </c>
      <c r="B47" t="s">
        <v>81</v>
      </c>
      <c r="C47" t="s">
        <v>144</v>
      </c>
      <c r="D47" t="s">
        <v>82</v>
      </c>
      <c r="E47" t="s">
        <v>132</v>
      </c>
      <c r="F47" t="s">
        <v>133</v>
      </c>
      <c r="G47">
        <v>65</v>
      </c>
      <c r="H47">
        <v>65</v>
      </c>
      <c r="I47" s="16">
        <v>0.53340277777777778</v>
      </c>
      <c r="J47">
        <v>1210028915</v>
      </c>
      <c r="K47" t="s">
        <v>134</v>
      </c>
      <c r="L47">
        <v>221.75</v>
      </c>
      <c r="M47">
        <v>0</v>
      </c>
      <c r="N47" s="16">
        <v>0.53340277777777778</v>
      </c>
      <c r="O47" t="s">
        <v>135</v>
      </c>
      <c r="P47">
        <v>1100000088673670</v>
      </c>
      <c r="Q47" t="s">
        <v>130</v>
      </c>
      <c r="S47" t="s">
        <v>136</v>
      </c>
      <c r="T47" t="s">
        <v>145</v>
      </c>
      <c r="U47" t="s">
        <v>130</v>
      </c>
      <c r="V47" t="s">
        <v>138</v>
      </c>
      <c r="W47">
        <v>0</v>
      </c>
      <c r="X47" t="s">
        <v>139</v>
      </c>
      <c r="Y47">
        <v>218.9</v>
      </c>
      <c r="Z47">
        <v>14228.5</v>
      </c>
      <c r="AC47">
        <v>0</v>
      </c>
    </row>
    <row r="48" spans="1:29">
      <c r="A48" t="s">
        <v>130</v>
      </c>
      <c r="B48" t="s">
        <v>81</v>
      </c>
      <c r="C48" t="s">
        <v>148</v>
      </c>
      <c r="D48" t="s">
        <v>82</v>
      </c>
      <c r="E48" t="s">
        <v>132</v>
      </c>
      <c r="F48" t="s">
        <v>133</v>
      </c>
      <c r="G48">
        <v>65</v>
      </c>
      <c r="H48">
        <v>65</v>
      </c>
      <c r="I48" s="16">
        <v>0.53339120370370374</v>
      </c>
      <c r="J48">
        <v>1210028914</v>
      </c>
      <c r="K48" t="s">
        <v>134</v>
      </c>
      <c r="L48">
        <v>199.45</v>
      </c>
      <c r="M48">
        <v>0</v>
      </c>
      <c r="N48" s="16">
        <v>0.53339120370370374</v>
      </c>
      <c r="O48" t="s">
        <v>135</v>
      </c>
      <c r="P48">
        <v>1000000100694840</v>
      </c>
      <c r="Q48" t="s">
        <v>130</v>
      </c>
      <c r="S48" t="s">
        <v>136</v>
      </c>
      <c r="T48" t="s">
        <v>145</v>
      </c>
      <c r="U48" t="s">
        <v>130</v>
      </c>
      <c r="V48" t="s">
        <v>138</v>
      </c>
      <c r="W48">
        <v>0</v>
      </c>
      <c r="X48" t="s">
        <v>139</v>
      </c>
      <c r="Y48">
        <v>196.25</v>
      </c>
      <c r="Z48">
        <v>12756.25</v>
      </c>
      <c r="AC48">
        <v>0</v>
      </c>
    </row>
    <row r="49" spans="1:29">
      <c r="A49" t="s">
        <v>130</v>
      </c>
      <c r="B49" t="s">
        <v>81</v>
      </c>
      <c r="C49" t="s">
        <v>149</v>
      </c>
      <c r="D49" t="s">
        <v>82</v>
      </c>
      <c r="E49" t="s">
        <v>132</v>
      </c>
      <c r="F49" t="s">
        <v>133</v>
      </c>
      <c r="G49">
        <v>130</v>
      </c>
      <c r="H49">
        <v>130</v>
      </c>
      <c r="I49" s="16">
        <v>0.46792824074074074</v>
      </c>
      <c r="J49">
        <v>1210080847</v>
      </c>
      <c r="K49" t="s">
        <v>134</v>
      </c>
      <c r="L49">
        <v>22.45</v>
      </c>
      <c r="M49">
        <v>0</v>
      </c>
      <c r="N49" s="16">
        <v>0.46792824074074074</v>
      </c>
      <c r="O49" t="s">
        <v>135</v>
      </c>
      <c r="P49">
        <v>1400000050032920</v>
      </c>
      <c r="Q49" t="s">
        <v>130</v>
      </c>
      <c r="S49" t="s">
        <v>136</v>
      </c>
      <c r="T49" t="s">
        <v>137</v>
      </c>
      <c r="U49" t="s">
        <v>130</v>
      </c>
      <c r="V49" t="s">
        <v>138</v>
      </c>
      <c r="W49">
        <v>0</v>
      </c>
      <c r="X49" t="s">
        <v>139</v>
      </c>
      <c r="Y49">
        <v>22.3</v>
      </c>
      <c r="Z49">
        <v>2899</v>
      </c>
      <c r="AC49">
        <v>0</v>
      </c>
    </row>
    <row r="50" spans="1:29">
      <c r="A50" t="s">
        <v>130</v>
      </c>
      <c r="B50" t="s">
        <v>81</v>
      </c>
      <c r="C50" t="s">
        <v>150</v>
      </c>
      <c r="D50" t="s">
        <v>82</v>
      </c>
      <c r="E50" t="s">
        <v>132</v>
      </c>
      <c r="F50" t="s">
        <v>142</v>
      </c>
      <c r="G50">
        <v>65</v>
      </c>
      <c r="H50">
        <v>130</v>
      </c>
      <c r="I50" s="16">
        <v>0.4649652777777778</v>
      </c>
      <c r="J50">
        <v>1210079719</v>
      </c>
      <c r="K50" t="s">
        <v>134</v>
      </c>
      <c r="L50">
        <v>111.35</v>
      </c>
      <c r="M50">
        <v>0</v>
      </c>
      <c r="N50" s="16">
        <v>0.4649652777777778</v>
      </c>
      <c r="O50" t="s">
        <v>135</v>
      </c>
      <c r="P50">
        <v>1500000052152340</v>
      </c>
      <c r="Q50" t="s">
        <v>130</v>
      </c>
      <c r="S50" t="s">
        <v>136</v>
      </c>
      <c r="T50" t="s">
        <v>137</v>
      </c>
      <c r="U50" t="s">
        <v>130</v>
      </c>
      <c r="V50" t="s">
        <v>138</v>
      </c>
      <c r="W50">
        <v>0</v>
      </c>
      <c r="X50" t="s">
        <v>139</v>
      </c>
      <c r="Y50">
        <v>111.35</v>
      </c>
      <c r="Z50">
        <v>14475.5</v>
      </c>
      <c r="AC50">
        <v>0</v>
      </c>
    </row>
    <row r="51" spans="1:29">
      <c r="A51" t="s">
        <v>130</v>
      </c>
      <c r="B51" t="s">
        <v>81</v>
      </c>
      <c r="C51" t="s">
        <v>150</v>
      </c>
      <c r="D51" t="s">
        <v>82</v>
      </c>
      <c r="E51" t="s">
        <v>132</v>
      </c>
      <c r="F51" t="s">
        <v>142</v>
      </c>
      <c r="G51">
        <v>65</v>
      </c>
      <c r="H51">
        <v>130</v>
      </c>
      <c r="I51" s="16">
        <v>0.4649652777777778</v>
      </c>
      <c r="J51">
        <v>1210079719</v>
      </c>
      <c r="K51" t="s">
        <v>134</v>
      </c>
      <c r="L51">
        <v>111.35</v>
      </c>
      <c r="M51">
        <v>0</v>
      </c>
      <c r="N51" s="16">
        <v>0.4649652777777778</v>
      </c>
      <c r="O51" t="s">
        <v>140</v>
      </c>
      <c r="P51">
        <v>1500000052152340</v>
      </c>
      <c r="Q51" t="s">
        <v>130</v>
      </c>
      <c r="S51" t="s">
        <v>136</v>
      </c>
      <c r="T51" t="s">
        <v>137</v>
      </c>
      <c r="U51" t="s">
        <v>130</v>
      </c>
      <c r="V51" t="s">
        <v>138</v>
      </c>
      <c r="W51">
        <v>65</v>
      </c>
      <c r="X51" t="s">
        <v>139</v>
      </c>
      <c r="Y51">
        <v>111.35</v>
      </c>
      <c r="Z51">
        <v>7237.75</v>
      </c>
      <c r="AC51">
        <v>0</v>
      </c>
    </row>
    <row r="52" spans="1:29">
      <c r="A52" t="s">
        <v>130</v>
      </c>
      <c r="B52" t="s">
        <v>81</v>
      </c>
      <c r="C52" t="s">
        <v>147</v>
      </c>
      <c r="D52" t="s">
        <v>82</v>
      </c>
      <c r="E52" t="s">
        <v>132</v>
      </c>
      <c r="F52" t="s">
        <v>133</v>
      </c>
      <c r="G52">
        <v>65</v>
      </c>
      <c r="H52">
        <v>65</v>
      </c>
      <c r="I52" s="16">
        <v>0.4611689814814815</v>
      </c>
      <c r="J52">
        <v>1210028763</v>
      </c>
      <c r="K52" t="s">
        <v>134</v>
      </c>
      <c r="L52">
        <v>233.65</v>
      </c>
      <c r="M52">
        <v>0</v>
      </c>
      <c r="N52" s="16">
        <v>0.4611689814814815</v>
      </c>
      <c r="O52" t="s">
        <v>135</v>
      </c>
      <c r="P52">
        <v>1000000061680770</v>
      </c>
      <c r="Q52" t="s">
        <v>130</v>
      </c>
      <c r="S52" t="s">
        <v>136</v>
      </c>
      <c r="T52" t="s">
        <v>145</v>
      </c>
      <c r="U52" t="s">
        <v>130</v>
      </c>
      <c r="V52" t="s">
        <v>138</v>
      </c>
      <c r="W52">
        <v>0</v>
      </c>
      <c r="X52" t="s">
        <v>139</v>
      </c>
      <c r="Y52">
        <v>229</v>
      </c>
      <c r="Z52">
        <v>14885</v>
      </c>
      <c r="AC52">
        <v>0</v>
      </c>
    </row>
    <row r="53" spans="1:29">
      <c r="A53" t="s">
        <v>130</v>
      </c>
      <c r="B53" t="s">
        <v>81</v>
      </c>
      <c r="C53" t="s">
        <v>148</v>
      </c>
      <c r="D53" t="s">
        <v>82</v>
      </c>
      <c r="E53" t="s">
        <v>132</v>
      </c>
      <c r="F53" t="s">
        <v>142</v>
      </c>
      <c r="G53">
        <v>65</v>
      </c>
      <c r="H53">
        <v>65</v>
      </c>
      <c r="I53" s="16">
        <v>0.4611689814814815</v>
      </c>
      <c r="J53">
        <v>1210028762</v>
      </c>
      <c r="K53" t="s">
        <v>134</v>
      </c>
      <c r="L53">
        <v>200.45</v>
      </c>
      <c r="M53">
        <v>0</v>
      </c>
      <c r="N53" s="16">
        <v>0.4611689814814815</v>
      </c>
      <c r="O53" t="s">
        <v>135</v>
      </c>
      <c r="P53">
        <v>1000000061680630</v>
      </c>
      <c r="Q53" t="s">
        <v>130</v>
      </c>
      <c r="S53" t="s">
        <v>136</v>
      </c>
      <c r="T53" t="s">
        <v>145</v>
      </c>
      <c r="U53" t="s">
        <v>130</v>
      </c>
      <c r="V53" t="s">
        <v>138</v>
      </c>
      <c r="W53">
        <v>0</v>
      </c>
      <c r="X53" t="s">
        <v>139</v>
      </c>
      <c r="Y53">
        <v>204.65</v>
      </c>
      <c r="Z53">
        <v>13302.25</v>
      </c>
      <c r="AC53">
        <v>0</v>
      </c>
    </row>
    <row r="54" spans="1:29">
      <c r="A54" t="s">
        <v>130</v>
      </c>
      <c r="B54" t="s">
        <v>81</v>
      </c>
      <c r="C54" t="s">
        <v>151</v>
      </c>
      <c r="D54" t="s">
        <v>82</v>
      </c>
      <c r="E54" t="s">
        <v>132</v>
      </c>
      <c r="F54" t="s">
        <v>142</v>
      </c>
      <c r="G54">
        <v>130</v>
      </c>
      <c r="H54">
        <v>130</v>
      </c>
      <c r="I54" s="16">
        <v>0.40627314814814813</v>
      </c>
      <c r="J54">
        <v>1210064882</v>
      </c>
      <c r="K54" t="s">
        <v>134</v>
      </c>
      <c r="L54">
        <v>166.05</v>
      </c>
      <c r="M54">
        <v>0</v>
      </c>
      <c r="N54" s="16">
        <v>0.40627314814814813</v>
      </c>
      <c r="O54" t="s">
        <v>135</v>
      </c>
      <c r="P54">
        <v>1000000023350340</v>
      </c>
      <c r="Q54" t="s">
        <v>130</v>
      </c>
      <c r="S54" t="s">
        <v>136</v>
      </c>
      <c r="T54" t="s">
        <v>137</v>
      </c>
      <c r="U54" t="s">
        <v>130</v>
      </c>
      <c r="V54" t="s">
        <v>138</v>
      </c>
      <c r="W54">
        <v>0</v>
      </c>
      <c r="X54" t="s">
        <v>139</v>
      </c>
      <c r="Y54">
        <v>166.05</v>
      </c>
      <c r="Z54">
        <v>21586.5</v>
      </c>
      <c r="AC54">
        <v>0</v>
      </c>
    </row>
    <row r="55" spans="1:29">
      <c r="A55" t="s">
        <v>130</v>
      </c>
      <c r="B55" t="s">
        <v>81</v>
      </c>
      <c r="C55" t="s">
        <v>152</v>
      </c>
      <c r="D55" t="s">
        <v>82</v>
      </c>
      <c r="E55" t="s">
        <v>132</v>
      </c>
      <c r="F55" t="s">
        <v>133</v>
      </c>
      <c r="G55">
        <v>130</v>
      </c>
      <c r="H55">
        <v>130</v>
      </c>
      <c r="I55" s="16">
        <v>0.40575231481481483</v>
      </c>
      <c r="J55">
        <v>1210062778</v>
      </c>
      <c r="K55" t="s">
        <v>134</v>
      </c>
      <c r="L55">
        <v>79.45</v>
      </c>
      <c r="M55">
        <v>0</v>
      </c>
      <c r="N55" s="16">
        <v>0.40575231481481483</v>
      </c>
      <c r="O55" t="s">
        <v>135</v>
      </c>
      <c r="P55">
        <v>1400000017533550</v>
      </c>
      <c r="Q55" t="s">
        <v>130</v>
      </c>
      <c r="S55" t="s">
        <v>136</v>
      </c>
      <c r="T55" t="s">
        <v>137</v>
      </c>
      <c r="U55" t="s">
        <v>130</v>
      </c>
      <c r="V55" t="s">
        <v>138</v>
      </c>
      <c r="W55">
        <v>0</v>
      </c>
      <c r="X55" t="s">
        <v>139</v>
      </c>
      <c r="Y55">
        <v>79</v>
      </c>
      <c r="Z55">
        <v>10270</v>
      </c>
      <c r="AC55">
        <v>0</v>
      </c>
    </row>
    <row r="56" spans="1:29">
      <c r="A56" t="s">
        <v>130</v>
      </c>
      <c r="B56" t="s">
        <v>81</v>
      </c>
      <c r="C56" t="s">
        <v>141</v>
      </c>
      <c r="D56" t="s">
        <v>82</v>
      </c>
      <c r="E56" t="s">
        <v>132</v>
      </c>
      <c r="F56" t="s">
        <v>133</v>
      </c>
      <c r="G56">
        <v>65</v>
      </c>
      <c r="H56">
        <v>65</v>
      </c>
      <c r="I56" s="16">
        <v>0.40436342592592595</v>
      </c>
      <c r="J56">
        <v>1210062597</v>
      </c>
      <c r="K56" t="s">
        <v>153</v>
      </c>
      <c r="L56">
        <v>0</v>
      </c>
      <c r="M56">
        <v>0</v>
      </c>
      <c r="N56" s="16">
        <v>0.40436342592592595</v>
      </c>
      <c r="O56" t="s">
        <v>135</v>
      </c>
      <c r="P56">
        <v>1300000017145080</v>
      </c>
      <c r="Q56" t="s">
        <v>130</v>
      </c>
      <c r="S56" t="s">
        <v>136</v>
      </c>
      <c r="T56" t="s">
        <v>137</v>
      </c>
      <c r="U56" t="s">
        <v>130</v>
      </c>
      <c r="V56" t="s">
        <v>138</v>
      </c>
      <c r="W56">
        <v>0</v>
      </c>
      <c r="X56" t="s">
        <v>139</v>
      </c>
      <c r="Y56">
        <v>20.75</v>
      </c>
      <c r="Z56">
        <v>1348.75</v>
      </c>
      <c r="AC56">
        <v>0</v>
      </c>
    </row>
    <row r="57" spans="1:29">
      <c r="A57" t="s">
        <v>130</v>
      </c>
      <c r="B57" t="s">
        <v>81</v>
      </c>
      <c r="C57" t="s">
        <v>154</v>
      </c>
      <c r="D57" t="s">
        <v>82</v>
      </c>
      <c r="E57" t="s">
        <v>132</v>
      </c>
      <c r="F57" t="s">
        <v>142</v>
      </c>
      <c r="G57">
        <v>130</v>
      </c>
      <c r="H57">
        <v>130</v>
      </c>
      <c r="I57" s="16">
        <v>0.40349537037037037</v>
      </c>
      <c r="J57">
        <v>1210061545</v>
      </c>
      <c r="K57" t="s">
        <v>153</v>
      </c>
      <c r="L57">
        <v>0</v>
      </c>
      <c r="M57">
        <v>0</v>
      </c>
      <c r="N57" s="16">
        <v>0.40349537037037037</v>
      </c>
      <c r="O57" t="s">
        <v>135</v>
      </c>
      <c r="P57">
        <v>1600000016129320</v>
      </c>
      <c r="Q57" t="s">
        <v>130</v>
      </c>
      <c r="S57" t="s">
        <v>136</v>
      </c>
      <c r="T57" t="s">
        <v>137</v>
      </c>
      <c r="U57" t="s">
        <v>130</v>
      </c>
      <c r="V57" t="s">
        <v>138</v>
      </c>
      <c r="W57">
        <v>0</v>
      </c>
      <c r="X57" t="s">
        <v>139</v>
      </c>
      <c r="Y57">
        <v>9.4</v>
      </c>
      <c r="Z57">
        <v>1222</v>
      </c>
      <c r="AC57">
        <v>0</v>
      </c>
    </row>
    <row r="58" spans="1:29">
      <c r="A58" t="s">
        <v>130</v>
      </c>
      <c r="B58" t="s">
        <v>81</v>
      </c>
      <c r="C58" t="s">
        <v>155</v>
      </c>
      <c r="D58" t="s">
        <v>82</v>
      </c>
      <c r="E58" t="s">
        <v>132</v>
      </c>
      <c r="F58" t="s">
        <v>142</v>
      </c>
      <c r="G58">
        <v>65</v>
      </c>
      <c r="H58">
        <v>65</v>
      </c>
      <c r="I58" s="16">
        <v>0.39927083333333335</v>
      </c>
      <c r="J58">
        <v>1210060160</v>
      </c>
      <c r="K58" t="s">
        <v>153</v>
      </c>
      <c r="L58">
        <v>0</v>
      </c>
      <c r="M58">
        <v>0</v>
      </c>
      <c r="N58" s="16">
        <v>0.39927083333333335</v>
      </c>
      <c r="O58" t="s">
        <v>135</v>
      </c>
      <c r="P58">
        <v>1500000013245020</v>
      </c>
      <c r="Q58" t="s">
        <v>130</v>
      </c>
      <c r="S58" t="s">
        <v>136</v>
      </c>
      <c r="T58" t="s">
        <v>137</v>
      </c>
      <c r="U58" t="s">
        <v>130</v>
      </c>
      <c r="V58" t="s">
        <v>138</v>
      </c>
      <c r="W58">
        <v>0</v>
      </c>
      <c r="X58" t="s">
        <v>139</v>
      </c>
      <c r="Y58">
        <v>12.8</v>
      </c>
      <c r="Z58">
        <v>832</v>
      </c>
      <c r="AC58">
        <v>0</v>
      </c>
    </row>
    <row r="59" spans="1:29">
      <c r="A59" t="s">
        <v>130</v>
      </c>
      <c r="B59" t="s">
        <v>81</v>
      </c>
      <c r="C59" t="s">
        <v>149</v>
      </c>
      <c r="D59" t="s">
        <v>82</v>
      </c>
      <c r="E59" t="s">
        <v>132</v>
      </c>
      <c r="F59" t="s">
        <v>133</v>
      </c>
      <c r="G59">
        <v>65</v>
      </c>
      <c r="H59">
        <v>65</v>
      </c>
      <c r="I59" s="16">
        <v>0.39905092592592595</v>
      </c>
      <c r="J59">
        <v>1210060132</v>
      </c>
      <c r="K59" t="s">
        <v>153</v>
      </c>
      <c r="L59">
        <v>0</v>
      </c>
      <c r="M59">
        <v>0</v>
      </c>
      <c r="N59" s="16">
        <v>0.39905092592592595</v>
      </c>
      <c r="O59" t="s">
        <v>135</v>
      </c>
      <c r="P59">
        <v>1400000012748600</v>
      </c>
      <c r="Q59" t="s">
        <v>130</v>
      </c>
      <c r="S59" t="s">
        <v>136</v>
      </c>
      <c r="T59" t="s">
        <v>137</v>
      </c>
      <c r="U59" t="s">
        <v>130</v>
      </c>
      <c r="V59" t="s">
        <v>138</v>
      </c>
      <c r="W59">
        <v>0</v>
      </c>
      <c r="X59" t="s">
        <v>139</v>
      </c>
      <c r="Y59">
        <v>23</v>
      </c>
      <c r="Z59">
        <v>1495</v>
      </c>
      <c r="AC59">
        <v>0</v>
      </c>
    </row>
    <row r="60" spans="1:29">
      <c r="A60" t="s">
        <v>130</v>
      </c>
      <c r="B60" t="s">
        <v>81</v>
      </c>
      <c r="C60" t="s">
        <v>156</v>
      </c>
      <c r="D60" t="s">
        <v>82</v>
      </c>
      <c r="E60" t="s">
        <v>132</v>
      </c>
      <c r="F60" t="s">
        <v>142</v>
      </c>
      <c r="G60">
        <v>65</v>
      </c>
      <c r="H60">
        <v>130</v>
      </c>
      <c r="I60" s="16">
        <v>0.39765046296296297</v>
      </c>
      <c r="J60">
        <v>1210059987</v>
      </c>
      <c r="K60" t="s">
        <v>153</v>
      </c>
      <c r="L60">
        <v>0</v>
      </c>
      <c r="M60">
        <v>0</v>
      </c>
      <c r="N60" s="16">
        <v>0.39765046296296297</v>
      </c>
      <c r="O60" t="s">
        <v>135</v>
      </c>
      <c r="P60">
        <v>1000000015423850</v>
      </c>
      <c r="Q60" t="s">
        <v>130</v>
      </c>
      <c r="S60" t="s">
        <v>136</v>
      </c>
      <c r="T60" t="s">
        <v>137</v>
      </c>
      <c r="U60" t="s">
        <v>130</v>
      </c>
      <c r="V60" t="s">
        <v>138</v>
      </c>
      <c r="W60">
        <v>0</v>
      </c>
      <c r="X60" t="s">
        <v>139</v>
      </c>
      <c r="Y60">
        <v>148</v>
      </c>
      <c r="Z60">
        <v>19240</v>
      </c>
      <c r="AC60">
        <v>0</v>
      </c>
    </row>
    <row r="61" spans="1:29">
      <c r="A61" t="s">
        <v>130</v>
      </c>
      <c r="B61" t="s">
        <v>81</v>
      </c>
      <c r="C61" t="s">
        <v>156</v>
      </c>
      <c r="D61" t="s">
        <v>82</v>
      </c>
      <c r="E61" t="s">
        <v>132</v>
      </c>
      <c r="F61" t="s">
        <v>142</v>
      </c>
      <c r="G61">
        <v>65</v>
      </c>
      <c r="H61">
        <v>130</v>
      </c>
      <c r="I61" s="16">
        <v>0.39765046296296297</v>
      </c>
      <c r="J61">
        <v>1210059987</v>
      </c>
      <c r="K61" t="s">
        <v>153</v>
      </c>
      <c r="L61">
        <v>0</v>
      </c>
      <c r="M61">
        <v>0</v>
      </c>
      <c r="N61" s="16">
        <v>0.39765046296296297</v>
      </c>
      <c r="O61" t="s">
        <v>140</v>
      </c>
      <c r="P61">
        <v>1000000015423850</v>
      </c>
      <c r="Q61" t="s">
        <v>130</v>
      </c>
      <c r="S61" t="s">
        <v>136</v>
      </c>
      <c r="T61" t="s">
        <v>137</v>
      </c>
      <c r="U61" t="s">
        <v>130</v>
      </c>
      <c r="V61" t="s">
        <v>138</v>
      </c>
      <c r="W61">
        <v>65</v>
      </c>
      <c r="X61" t="s">
        <v>139</v>
      </c>
      <c r="Y61">
        <v>148</v>
      </c>
      <c r="Z61">
        <v>9620</v>
      </c>
      <c r="AC61">
        <v>0</v>
      </c>
    </row>
  </sheetData>
  <mergeCells count="2">
    <mergeCell ref="AI3:AJ3"/>
    <mergeCell ref="AK3:A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7B6B-F4E5-474B-9A74-B7EBD99804A6}">
  <dimension ref="A1:AC131"/>
  <sheetViews>
    <sheetView workbookViewId="0">
      <selection activeCell="Y2" sqref="Y2:AA2"/>
    </sheetView>
  </sheetViews>
  <sheetFormatPr defaultRowHeight="15"/>
  <cols>
    <col min="14" max="14" width="16.5703125" bestFit="1" customWidth="1"/>
  </cols>
  <sheetData>
    <row r="1" spans="1:27" ht="63.75">
      <c r="A1" t="s">
        <v>53</v>
      </c>
      <c r="B1" t="s">
        <v>54</v>
      </c>
      <c r="C1" t="s">
        <v>55</v>
      </c>
      <c r="D1" t="s">
        <v>56</v>
      </c>
      <c r="E1" t="s">
        <v>13</v>
      </c>
      <c r="F1" t="s">
        <v>78</v>
      </c>
      <c r="G1" t="s">
        <v>60</v>
      </c>
      <c r="H1" t="s">
        <v>62</v>
      </c>
      <c r="I1" t="s">
        <v>76</v>
      </c>
      <c r="J1" t="s">
        <v>61</v>
      </c>
      <c r="K1" t="s">
        <v>57</v>
      </c>
      <c r="L1" t="s">
        <v>77</v>
      </c>
      <c r="M1" t="s">
        <v>14</v>
      </c>
      <c r="N1" s="9" t="s">
        <v>58</v>
      </c>
      <c r="O1" t="s">
        <v>79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9</v>
      </c>
      <c r="V1" s="8" t="s">
        <v>19</v>
      </c>
      <c r="W1" s="8" t="s">
        <v>11</v>
      </c>
      <c r="X1" s="8" t="s">
        <v>12</v>
      </c>
      <c r="Y1" s="8" t="s">
        <v>20</v>
      </c>
      <c r="Z1" s="8" t="s">
        <v>21</v>
      </c>
      <c r="AA1" s="8" t="s">
        <v>22</v>
      </c>
    </row>
    <row r="2" spans="1:27">
      <c r="A2" t="s">
        <v>39</v>
      </c>
      <c r="B2" s="15">
        <v>46259</v>
      </c>
      <c r="C2">
        <v>24400</v>
      </c>
      <c r="D2" t="s">
        <v>88</v>
      </c>
      <c r="E2">
        <v>585</v>
      </c>
      <c r="F2">
        <v>9</v>
      </c>
      <c r="G2">
        <v>202.11</v>
      </c>
      <c r="H2">
        <v>199.48</v>
      </c>
      <c r="I2">
        <v>65</v>
      </c>
      <c r="J2">
        <v>845</v>
      </c>
      <c r="K2">
        <v>9460.75</v>
      </c>
      <c r="L2">
        <v>-4</v>
      </c>
      <c r="M2">
        <v>-260</v>
      </c>
      <c r="N2">
        <v>157.19999999999999</v>
      </c>
      <c r="O2">
        <v>13</v>
      </c>
      <c r="P2" s="10">
        <f>M2*N2</f>
        <v>-40872</v>
      </c>
      <c r="Q2" s="10">
        <f>SUM($G$31:G194)</f>
        <v>8970</v>
      </c>
      <c r="R2" s="2">
        <f>SUMIFS(INDEX($A$2:$AF$29,0,MATCH("NETQTY",$A$1:$AF$1,0)),INDEX($A$2:$AF$29,0,MATCH("OPTION TYPE",$A$1:$AF$1,0)),"PE",INDEX($A$2:$AF$29,0,MATCH("NETQTY",$A$1:$AF$1,0)),"&lt;0")</f>
        <v>-585</v>
      </c>
      <c r="S2" s="2">
        <f>SUMIFS(INDEX($A$2:$AF$29,0,MATCH("NETQTY",$A$1:$AF$1,0)),INDEX($A$2:$AF$29,0,MATCH("OPTION TYPE",$A$1:$AF$1,0)),"PE",INDEX($A$2:$AF$29,0,MATCH("NETQTY",$A$1:$AF$1,0)),"&gt;0")</f>
        <v>1170</v>
      </c>
      <c r="T2" s="2">
        <f>SUMIFS(INDEX($A$2:$AF$29,0,MATCH("NETQTY",$A$1:$AF$1,0)),INDEX($A$2:$AF$29,0,MATCH("OPTION TYPE",$A$1:$AF$1,0)),"CE",INDEX($A$2:$AF$29,0,MATCH("NETQTY",$A$1:$AF$1,0)),"&lt;0")</f>
        <v>-195</v>
      </c>
      <c r="U2" s="2">
        <f>SUMIFS(INDEX($A$2:$AF$29,0,MATCH("NETQTY",$A$1:$AF$1,0)),INDEX($A$2:$AF$29,0,MATCH("OPTION TYPE",$A$1:$AF$1,0)),"CE",INDEX($A$2:$AF$29,0,MATCH("NETQTY",$A$1:$AF$1,0)),"&gt;0")</f>
        <v>260</v>
      </c>
      <c r="V2" s="2">
        <f>R2+S2+T2+U2</f>
        <v>650</v>
      </c>
      <c r="W2" s="5">
        <f>ABS(S2)/R2</f>
        <v>-2</v>
      </c>
      <c r="X2" s="5">
        <f>ABS(U2)/T2</f>
        <v>-1.3333333333333333</v>
      </c>
      <c r="Y2" s="2" cm="1">
        <f t="array" ref="Y2">SUMPRODUCT((INDEX($A$2:$AF$29,0,MATCH("OPTION TYPE",$A$1:$AF$1,0))="PE")*(INDEX($A$2:$AF$29,0,MATCH("NETQTY",$A$1:$AF$1,0))*INDEX($A$2:$AF$29,0,MATCH("LastTradePrice",$A$1:$AF$1,0))&lt;0)*INDEX($A$2:$AF$29,0,MATCH("NETQTY",$A$1:$AF$1,0))*INDEX($A$2:$AF$29,0,MATCH("LastTradePrice",$A$1:$AF$1,0)))</f>
        <v>-89433.5</v>
      </c>
      <c r="Z2" s="2" cm="1">
        <f t="array" ref="Z2">SUMPRODUCT((INDEX($A$2:$AF$29,0,MATCH("OPTION TYPE",$A$1:$AF$1,0))="CE")*(INDEX($A$2:$AF$29,0,MATCH("NETQTY",$A$1:$AF$1,0))*INDEX($A$2:$AF$29,0,MATCH("LastTradePrice",$A$1:$AF$1,0))&lt;0)*INDEX($A$2:$AF$29,0,MATCH("NETQTY",$A$1:$AF$1,0))*INDEX($A$2:$AF$29,0,MATCH("LastTradePrice",$A$1:$AF$1,0)))</f>
        <v>-41938</v>
      </c>
      <c r="AA2" s="2">
        <f>ABS(Y2+Z2)</f>
        <v>131371.5</v>
      </c>
    </row>
    <row r="3" spans="1:27">
      <c r="A3" t="s">
        <v>39</v>
      </c>
      <c r="B3" s="15">
        <v>46259</v>
      </c>
      <c r="C3">
        <v>24300</v>
      </c>
      <c r="D3" t="s">
        <v>88</v>
      </c>
      <c r="E3">
        <v>0</v>
      </c>
      <c r="F3">
        <v>0</v>
      </c>
      <c r="G3">
        <v>0</v>
      </c>
      <c r="H3">
        <v>157.65</v>
      </c>
      <c r="I3">
        <v>65</v>
      </c>
      <c r="J3">
        <v>130</v>
      </c>
      <c r="K3">
        <v>4751.5</v>
      </c>
      <c r="L3">
        <v>-2</v>
      </c>
      <c r="M3">
        <v>-130</v>
      </c>
      <c r="N3">
        <v>121.1</v>
      </c>
      <c r="O3">
        <v>2</v>
      </c>
      <c r="P3" s="10">
        <f t="shared" ref="P3:P17" si="0">M3*N3</f>
        <v>-15743</v>
      </c>
    </row>
    <row r="4" spans="1:27">
      <c r="A4" t="s">
        <v>39</v>
      </c>
      <c r="B4" s="15">
        <v>46259</v>
      </c>
      <c r="C4">
        <v>24400</v>
      </c>
      <c r="D4" t="s">
        <v>83</v>
      </c>
      <c r="E4">
        <v>585</v>
      </c>
      <c r="F4">
        <v>9</v>
      </c>
      <c r="G4">
        <v>197.88</v>
      </c>
      <c r="H4">
        <v>199.28</v>
      </c>
      <c r="I4">
        <v>65</v>
      </c>
      <c r="J4">
        <v>715</v>
      </c>
      <c r="K4">
        <v>-3558.75</v>
      </c>
      <c r="L4">
        <v>-2</v>
      </c>
      <c r="M4">
        <v>-130</v>
      </c>
      <c r="N4">
        <v>232.95</v>
      </c>
      <c r="O4">
        <v>11</v>
      </c>
      <c r="P4" s="10">
        <f t="shared" si="0"/>
        <v>-30283.5</v>
      </c>
    </row>
    <row r="5" spans="1:27">
      <c r="A5" t="s">
        <v>39</v>
      </c>
      <c r="B5" s="15">
        <v>46252</v>
      </c>
      <c r="C5">
        <v>24500</v>
      </c>
      <c r="D5" t="s">
        <v>88</v>
      </c>
      <c r="E5">
        <v>130</v>
      </c>
      <c r="F5">
        <v>2</v>
      </c>
      <c r="G5">
        <v>217.65</v>
      </c>
      <c r="H5">
        <v>144.18</v>
      </c>
      <c r="I5">
        <v>65</v>
      </c>
      <c r="J5">
        <v>260</v>
      </c>
      <c r="K5">
        <v>-10341.5</v>
      </c>
      <c r="L5">
        <v>-2</v>
      </c>
      <c r="M5">
        <v>-130</v>
      </c>
      <c r="N5">
        <v>150.25</v>
      </c>
      <c r="O5">
        <v>4</v>
      </c>
      <c r="P5" s="10">
        <f t="shared" si="0"/>
        <v>-19532.5</v>
      </c>
    </row>
    <row r="6" spans="1:27">
      <c r="A6" t="s">
        <v>39</v>
      </c>
      <c r="B6" s="15">
        <v>46259</v>
      </c>
      <c r="C6">
        <v>24500</v>
      </c>
      <c r="D6" t="s">
        <v>83</v>
      </c>
      <c r="E6">
        <v>195</v>
      </c>
      <c r="F6">
        <v>3</v>
      </c>
      <c r="G6">
        <v>214.73</v>
      </c>
      <c r="H6">
        <v>185.33</v>
      </c>
      <c r="I6">
        <v>65</v>
      </c>
      <c r="J6">
        <v>260</v>
      </c>
      <c r="K6">
        <v>-5343</v>
      </c>
      <c r="L6">
        <v>-1</v>
      </c>
      <c r="M6">
        <v>-65</v>
      </c>
      <c r="N6">
        <v>179.3</v>
      </c>
      <c r="O6">
        <v>4</v>
      </c>
      <c r="P6" s="10">
        <f t="shared" si="0"/>
        <v>-11654.5</v>
      </c>
    </row>
    <row r="7" spans="1:27">
      <c r="A7" t="s">
        <v>39</v>
      </c>
      <c r="B7" s="15">
        <v>46259</v>
      </c>
      <c r="C7">
        <v>24500</v>
      </c>
      <c r="D7" t="s">
        <v>88</v>
      </c>
      <c r="E7">
        <v>130</v>
      </c>
      <c r="F7">
        <v>2</v>
      </c>
      <c r="G7">
        <v>210.58</v>
      </c>
      <c r="H7">
        <v>190.5</v>
      </c>
      <c r="I7">
        <v>65</v>
      </c>
      <c r="J7">
        <v>195</v>
      </c>
      <c r="K7">
        <v>-3513.25</v>
      </c>
      <c r="L7">
        <v>-1</v>
      </c>
      <c r="M7">
        <v>-65</v>
      </c>
      <c r="N7">
        <v>204.4</v>
      </c>
      <c r="O7">
        <v>3</v>
      </c>
      <c r="P7" s="10">
        <f t="shared" si="0"/>
        <v>-13286</v>
      </c>
    </row>
    <row r="8" spans="1:27">
      <c r="A8" t="s">
        <v>39</v>
      </c>
      <c r="B8" s="15">
        <v>46252</v>
      </c>
      <c r="C8">
        <v>24500</v>
      </c>
      <c r="D8" t="s">
        <v>83</v>
      </c>
      <c r="E8">
        <v>130</v>
      </c>
      <c r="F8">
        <v>2</v>
      </c>
      <c r="G8">
        <v>99.2</v>
      </c>
      <c r="H8">
        <v>143.94999999999999</v>
      </c>
      <c r="I8">
        <v>65</v>
      </c>
      <c r="J8">
        <v>130</v>
      </c>
      <c r="K8">
        <v>5817.5</v>
      </c>
      <c r="L8">
        <v>0</v>
      </c>
      <c r="M8">
        <v>0</v>
      </c>
      <c r="N8">
        <v>98.35</v>
      </c>
      <c r="O8">
        <v>2</v>
      </c>
      <c r="P8" s="10">
        <f t="shared" si="0"/>
        <v>0</v>
      </c>
    </row>
    <row r="9" spans="1:27">
      <c r="A9" t="s">
        <v>39</v>
      </c>
      <c r="B9" s="15">
        <v>46252</v>
      </c>
      <c r="C9">
        <v>24900</v>
      </c>
      <c r="D9" t="s">
        <v>83</v>
      </c>
      <c r="E9">
        <v>130</v>
      </c>
      <c r="F9">
        <v>2</v>
      </c>
      <c r="G9">
        <v>21.2</v>
      </c>
      <c r="H9">
        <v>11.15</v>
      </c>
      <c r="I9">
        <v>65</v>
      </c>
      <c r="J9">
        <v>130</v>
      </c>
      <c r="K9">
        <v>-1306.5</v>
      </c>
      <c r="L9">
        <v>0</v>
      </c>
      <c r="M9">
        <v>0</v>
      </c>
      <c r="N9">
        <v>10.45</v>
      </c>
      <c r="O9">
        <v>2</v>
      </c>
      <c r="P9" s="10">
        <f t="shared" si="0"/>
        <v>0</v>
      </c>
    </row>
    <row r="10" spans="1:27">
      <c r="A10" t="s">
        <v>39</v>
      </c>
      <c r="B10" s="15">
        <v>46252</v>
      </c>
      <c r="C10">
        <v>23900</v>
      </c>
      <c r="D10" t="s">
        <v>88</v>
      </c>
      <c r="E10">
        <v>130</v>
      </c>
      <c r="F10">
        <v>2</v>
      </c>
      <c r="G10">
        <v>20.3</v>
      </c>
      <c r="H10">
        <v>10.6</v>
      </c>
      <c r="I10">
        <v>65</v>
      </c>
      <c r="J10">
        <v>130</v>
      </c>
      <c r="K10">
        <v>-1261</v>
      </c>
      <c r="L10">
        <v>0</v>
      </c>
      <c r="M10">
        <v>0</v>
      </c>
      <c r="N10">
        <v>8.6999999999999993</v>
      </c>
      <c r="O10">
        <v>2</v>
      </c>
      <c r="P10" s="10">
        <f t="shared" si="0"/>
        <v>0</v>
      </c>
    </row>
    <row r="11" spans="1:27">
      <c r="A11" t="s">
        <v>39</v>
      </c>
      <c r="B11" s="15">
        <v>46252</v>
      </c>
      <c r="C11">
        <v>24400</v>
      </c>
      <c r="D11" t="s">
        <v>88</v>
      </c>
      <c r="E11">
        <v>130</v>
      </c>
      <c r="F11">
        <v>2</v>
      </c>
      <c r="G11">
        <v>101.95</v>
      </c>
      <c r="H11">
        <v>94.8</v>
      </c>
      <c r="I11">
        <v>65</v>
      </c>
      <c r="J11">
        <v>130</v>
      </c>
      <c r="K11">
        <v>-929.5</v>
      </c>
      <c r="L11">
        <v>0</v>
      </c>
      <c r="M11">
        <v>0</v>
      </c>
      <c r="N11">
        <v>100.85</v>
      </c>
      <c r="O11">
        <v>2</v>
      </c>
      <c r="P11" s="10">
        <f t="shared" si="0"/>
        <v>0</v>
      </c>
    </row>
    <row r="12" spans="1:27">
      <c r="A12" t="s">
        <v>39</v>
      </c>
      <c r="B12" s="15">
        <v>46252</v>
      </c>
      <c r="C12">
        <v>24000</v>
      </c>
      <c r="D12" t="s">
        <v>88</v>
      </c>
      <c r="E12">
        <v>390</v>
      </c>
      <c r="F12">
        <v>6</v>
      </c>
      <c r="G12">
        <v>17.47</v>
      </c>
      <c r="H12">
        <v>24.62</v>
      </c>
      <c r="I12">
        <v>65</v>
      </c>
      <c r="J12">
        <v>390</v>
      </c>
      <c r="K12">
        <v>2788.5</v>
      </c>
      <c r="L12">
        <v>0</v>
      </c>
      <c r="M12">
        <v>0</v>
      </c>
      <c r="N12">
        <v>14.55</v>
      </c>
      <c r="O12">
        <v>6</v>
      </c>
      <c r="P12" s="10">
        <f t="shared" si="0"/>
        <v>0</v>
      </c>
    </row>
    <row r="13" spans="1:27">
      <c r="A13" t="s">
        <v>39</v>
      </c>
      <c r="B13" s="15">
        <v>46259</v>
      </c>
      <c r="C13">
        <v>24450</v>
      </c>
      <c r="D13" t="s">
        <v>88</v>
      </c>
      <c r="E13">
        <v>325</v>
      </c>
      <c r="F13">
        <v>5</v>
      </c>
      <c r="G13">
        <v>199.91</v>
      </c>
      <c r="H13">
        <v>188.67</v>
      </c>
      <c r="I13">
        <v>65</v>
      </c>
      <c r="J13">
        <v>325</v>
      </c>
      <c r="K13">
        <v>-3653</v>
      </c>
      <c r="L13">
        <v>0</v>
      </c>
      <c r="M13">
        <v>0</v>
      </c>
      <c r="N13">
        <v>180</v>
      </c>
      <c r="O13">
        <v>5</v>
      </c>
      <c r="P13" s="10">
        <f t="shared" si="0"/>
        <v>0</v>
      </c>
    </row>
    <row r="14" spans="1:27">
      <c r="A14" t="s">
        <v>39</v>
      </c>
      <c r="B14" s="15">
        <v>46252</v>
      </c>
      <c r="C14">
        <v>23950</v>
      </c>
      <c r="D14" t="s">
        <v>88</v>
      </c>
      <c r="E14">
        <v>520</v>
      </c>
      <c r="F14">
        <v>8</v>
      </c>
      <c r="G14">
        <v>22.5</v>
      </c>
      <c r="H14">
        <v>12.55</v>
      </c>
      <c r="I14">
        <v>65</v>
      </c>
      <c r="J14">
        <v>520</v>
      </c>
      <c r="K14">
        <v>-5174</v>
      </c>
      <c r="L14">
        <v>0</v>
      </c>
      <c r="M14">
        <v>0</v>
      </c>
      <c r="N14">
        <v>11.35</v>
      </c>
      <c r="O14">
        <v>8</v>
      </c>
      <c r="P14" s="10">
        <f t="shared" si="0"/>
        <v>0</v>
      </c>
    </row>
    <row r="15" spans="1:27">
      <c r="A15" t="s">
        <v>39</v>
      </c>
      <c r="B15" s="15">
        <v>46259</v>
      </c>
      <c r="C15">
        <v>24450</v>
      </c>
      <c r="D15" t="s">
        <v>83</v>
      </c>
      <c r="E15">
        <v>325</v>
      </c>
      <c r="F15">
        <v>5</v>
      </c>
      <c r="G15">
        <v>201.85</v>
      </c>
      <c r="H15">
        <v>192.66</v>
      </c>
      <c r="I15">
        <v>65</v>
      </c>
      <c r="J15">
        <v>325</v>
      </c>
      <c r="K15">
        <v>-2986.75</v>
      </c>
      <c r="L15">
        <v>0</v>
      </c>
      <c r="M15">
        <v>0</v>
      </c>
      <c r="N15">
        <v>204.45</v>
      </c>
      <c r="O15">
        <v>5</v>
      </c>
      <c r="P15" s="10">
        <f t="shared" si="0"/>
        <v>0</v>
      </c>
    </row>
    <row r="16" spans="1:27">
      <c r="A16" t="s">
        <v>39</v>
      </c>
      <c r="B16" s="15">
        <v>46252</v>
      </c>
      <c r="C16">
        <v>24750</v>
      </c>
      <c r="D16" t="s">
        <v>83</v>
      </c>
      <c r="E16">
        <v>260</v>
      </c>
      <c r="F16">
        <v>4</v>
      </c>
      <c r="G16">
        <v>20.7</v>
      </c>
      <c r="H16">
        <v>0</v>
      </c>
      <c r="I16">
        <v>65</v>
      </c>
      <c r="J16">
        <v>0</v>
      </c>
      <c r="K16">
        <v>1365</v>
      </c>
      <c r="L16">
        <v>4</v>
      </c>
      <c r="M16">
        <v>260</v>
      </c>
      <c r="N16">
        <v>25.95</v>
      </c>
      <c r="O16">
        <v>0</v>
      </c>
      <c r="P16" s="10">
        <f t="shared" si="0"/>
        <v>6747</v>
      </c>
    </row>
    <row r="17" spans="1:29">
      <c r="A17" t="s">
        <v>39</v>
      </c>
      <c r="B17" s="15">
        <v>46252</v>
      </c>
      <c r="C17">
        <v>24050</v>
      </c>
      <c r="D17" t="s">
        <v>88</v>
      </c>
      <c r="E17">
        <v>1430</v>
      </c>
      <c r="F17">
        <v>22</v>
      </c>
      <c r="G17">
        <v>20.12</v>
      </c>
      <c r="H17">
        <v>28.03</v>
      </c>
      <c r="I17">
        <v>65</v>
      </c>
      <c r="J17">
        <v>260</v>
      </c>
      <c r="K17">
        <v>-429</v>
      </c>
      <c r="L17">
        <v>18</v>
      </c>
      <c r="M17">
        <v>1170</v>
      </c>
      <c r="N17">
        <v>18</v>
      </c>
      <c r="O17">
        <v>4</v>
      </c>
      <c r="P17" s="10">
        <f t="shared" si="0"/>
        <v>21060</v>
      </c>
    </row>
    <row r="30" spans="1:29">
      <c r="A30" t="s">
        <v>50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116</v>
      </c>
      <c r="Q30" t="s">
        <v>117</v>
      </c>
      <c r="R30" t="s">
        <v>118</v>
      </c>
      <c r="S30" t="s">
        <v>119</v>
      </c>
      <c r="T30" t="s">
        <v>120</v>
      </c>
      <c r="U30" t="s">
        <v>121</v>
      </c>
      <c r="V30" t="s">
        <v>122</v>
      </c>
      <c r="W30" t="s">
        <v>123</v>
      </c>
      <c r="X30" t="s">
        <v>124</v>
      </c>
      <c r="Y30" t="s">
        <v>125</v>
      </c>
      <c r="Z30" t="s">
        <v>126</v>
      </c>
      <c r="AA30" t="s">
        <v>127</v>
      </c>
      <c r="AB30" t="s">
        <v>128</v>
      </c>
      <c r="AC30" t="s">
        <v>129</v>
      </c>
    </row>
    <row r="31" spans="1:29">
      <c r="A31" t="s">
        <v>130</v>
      </c>
      <c r="B31" t="s">
        <v>81</v>
      </c>
      <c r="C31" t="s">
        <v>143</v>
      </c>
      <c r="D31" t="s">
        <v>82</v>
      </c>
      <c r="E31" t="s">
        <v>132</v>
      </c>
      <c r="F31" t="s">
        <v>133</v>
      </c>
      <c r="G31">
        <v>130</v>
      </c>
      <c r="H31">
        <v>650</v>
      </c>
      <c r="I31" s="16">
        <v>0.65015046296296297</v>
      </c>
      <c r="J31">
        <v>1210135846</v>
      </c>
      <c r="K31" t="s">
        <v>153</v>
      </c>
      <c r="L31">
        <v>0</v>
      </c>
      <c r="M31">
        <v>0</v>
      </c>
      <c r="N31" s="16">
        <v>0.65015046296296297</v>
      </c>
      <c r="O31" t="s">
        <v>135</v>
      </c>
      <c r="P31">
        <v>1500000118457120</v>
      </c>
      <c r="Q31" t="s">
        <v>130</v>
      </c>
      <c r="S31" t="s">
        <v>136</v>
      </c>
      <c r="T31" t="s">
        <v>137</v>
      </c>
      <c r="U31" t="s">
        <v>130</v>
      </c>
      <c r="V31" t="s">
        <v>138</v>
      </c>
      <c r="W31">
        <v>0</v>
      </c>
      <c r="X31" t="s">
        <v>139</v>
      </c>
      <c r="Y31">
        <v>18.71</v>
      </c>
      <c r="Z31">
        <v>12161.5</v>
      </c>
      <c r="AC31">
        <v>0</v>
      </c>
    </row>
    <row r="32" spans="1:29">
      <c r="A32" t="s">
        <v>130</v>
      </c>
      <c r="B32" t="s">
        <v>81</v>
      </c>
      <c r="C32" t="s">
        <v>143</v>
      </c>
      <c r="D32" t="s">
        <v>82</v>
      </c>
      <c r="E32" t="s">
        <v>132</v>
      </c>
      <c r="F32" t="s">
        <v>133</v>
      </c>
      <c r="G32">
        <v>130</v>
      </c>
      <c r="H32">
        <v>650</v>
      </c>
      <c r="I32" s="16">
        <v>0.65015046296296297</v>
      </c>
      <c r="J32">
        <v>1210135846</v>
      </c>
      <c r="K32" t="s">
        <v>153</v>
      </c>
      <c r="L32">
        <v>0</v>
      </c>
      <c r="M32">
        <v>0</v>
      </c>
      <c r="N32" s="16">
        <v>0.65015046296296297</v>
      </c>
      <c r="O32" t="s">
        <v>140</v>
      </c>
      <c r="P32">
        <v>1500000118457120</v>
      </c>
      <c r="Q32" t="s">
        <v>130</v>
      </c>
      <c r="S32" t="s">
        <v>136</v>
      </c>
      <c r="T32" t="s">
        <v>137</v>
      </c>
      <c r="U32" t="s">
        <v>130</v>
      </c>
      <c r="V32" t="s">
        <v>138</v>
      </c>
      <c r="W32">
        <v>130</v>
      </c>
      <c r="X32" t="s">
        <v>139</v>
      </c>
      <c r="Y32">
        <v>18.7</v>
      </c>
      <c r="Z32">
        <v>9724</v>
      </c>
      <c r="AC32">
        <v>0</v>
      </c>
    </row>
    <row r="33" spans="1:29">
      <c r="A33" t="s">
        <v>130</v>
      </c>
      <c r="B33" t="s">
        <v>81</v>
      </c>
      <c r="C33" t="s">
        <v>143</v>
      </c>
      <c r="D33" t="s">
        <v>82</v>
      </c>
      <c r="E33" t="s">
        <v>132</v>
      </c>
      <c r="F33" t="s">
        <v>133</v>
      </c>
      <c r="G33">
        <v>65</v>
      </c>
      <c r="H33">
        <v>650</v>
      </c>
      <c r="I33" s="16">
        <v>0.65015046296296297</v>
      </c>
      <c r="J33">
        <v>1210135846</v>
      </c>
      <c r="K33" t="s">
        <v>153</v>
      </c>
      <c r="L33">
        <v>0</v>
      </c>
      <c r="M33">
        <v>0</v>
      </c>
      <c r="N33" s="16">
        <v>0.65015046296296297</v>
      </c>
      <c r="O33" t="s">
        <v>140</v>
      </c>
      <c r="P33">
        <v>1500000118457120</v>
      </c>
      <c r="Q33" t="s">
        <v>130</v>
      </c>
      <c r="S33" t="s">
        <v>136</v>
      </c>
      <c r="T33" t="s">
        <v>137</v>
      </c>
      <c r="U33" t="s">
        <v>130</v>
      </c>
      <c r="V33" t="s">
        <v>138</v>
      </c>
      <c r="W33">
        <v>260</v>
      </c>
      <c r="X33" t="s">
        <v>139</v>
      </c>
      <c r="Y33">
        <v>18.7</v>
      </c>
      <c r="Z33">
        <v>7293</v>
      </c>
      <c r="AC33">
        <v>0</v>
      </c>
    </row>
    <row r="34" spans="1:29">
      <c r="A34" t="s">
        <v>130</v>
      </c>
      <c r="B34" t="s">
        <v>81</v>
      </c>
      <c r="C34" t="s">
        <v>143</v>
      </c>
      <c r="D34" t="s">
        <v>82</v>
      </c>
      <c r="E34" t="s">
        <v>132</v>
      </c>
      <c r="F34" t="s">
        <v>133</v>
      </c>
      <c r="G34">
        <v>65</v>
      </c>
      <c r="H34">
        <v>650</v>
      </c>
      <c r="I34" s="16">
        <v>0.65015046296296297</v>
      </c>
      <c r="J34">
        <v>1210135846</v>
      </c>
      <c r="K34" t="s">
        <v>153</v>
      </c>
      <c r="L34">
        <v>0</v>
      </c>
      <c r="M34">
        <v>0</v>
      </c>
      <c r="N34" s="16">
        <v>0.65015046296296297</v>
      </c>
      <c r="O34" t="s">
        <v>140</v>
      </c>
      <c r="P34">
        <v>1500000118457120</v>
      </c>
      <c r="Q34" t="s">
        <v>130</v>
      </c>
      <c r="S34" t="s">
        <v>136</v>
      </c>
      <c r="T34" t="s">
        <v>137</v>
      </c>
      <c r="U34" t="s">
        <v>130</v>
      </c>
      <c r="V34" t="s">
        <v>138</v>
      </c>
      <c r="W34">
        <v>325</v>
      </c>
      <c r="X34" t="s">
        <v>139</v>
      </c>
      <c r="Y34">
        <v>18.7</v>
      </c>
      <c r="Z34">
        <v>6077.5</v>
      </c>
      <c r="AC34">
        <v>0</v>
      </c>
    </row>
    <row r="35" spans="1:29">
      <c r="A35" t="s">
        <v>130</v>
      </c>
      <c r="B35" t="s">
        <v>81</v>
      </c>
      <c r="C35" t="s">
        <v>143</v>
      </c>
      <c r="D35" t="s">
        <v>82</v>
      </c>
      <c r="E35" t="s">
        <v>132</v>
      </c>
      <c r="F35" t="s">
        <v>133</v>
      </c>
      <c r="G35">
        <v>65</v>
      </c>
      <c r="H35">
        <v>650</v>
      </c>
      <c r="I35" s="16">
        <v>0.65015046296296297</v>
      </c>
      <c r="J35">
        <v>1210135846</v>
      </c>
      <c r="K35" t="s">
        <v>153</v>
      </c>
      <c r="L35">
        <v>0</v>
      </c>
      <c r="M35">
        <v>0</v>
      </c>
      <c r="N35" s="16">
        <v>0.65015046296296297</v>
      </c>
      <c r="O35" t="s">
        <v>140</v>
      </c>
      <c r="P35">
        <v>1500000118457120</v>
      </c>
      <c r="Q35" t="s">
        <v>130</v>
      </c>
      <c r="S35" t="s">
        <v>136</v>
      </c>
      <c r="T35" t="s">
        <v>137</v>
      </c>
      <c r="U35" t="s">
        <v>130</v>
      </c>
      <c r="V35" t="s">
        <v>138</v>
      </c>
      <c r="W35">
        <v>390</v>
      </c>
      <c r="X35" t="s">
        <v>139</v>
      </c>
      <c r="Y35">
        <v>18.7</v>
      </c>
      <c r="Z35">
        <v>4862</v>
      </c>
      <c r="AC35">
        <v>0</v>
      </c>
    </row>
    <row r="36" spans="1:29">
      <c r="A36" t="s">
        <v>130</v>
      </c>
      <c r="B36" t="s">
        <v>81</v>
      </c>
      <c r="C36" t="s">
        <v>143</v>
      </c>
      <c r="D36" t="s">
        <v>82</v>
      </c>
      <c r="E36" t="s">
        <v>132</v>
      </c>
      <c r="F36" t="s">
        <v>133</v>
      </c>
      <c r="G36">
        <v>130</v>
      </c>
      <c r="H36">
        <v>650</v>
      </c>
      <c r="I36" s="16">
        <v>0.65015046296296297</v>
      </c>
      <c r="J36">
        <v>1210135846</v>
      </c>
      <c r="K36" t="s">
        <v>153</v>
      </c>
      <c r="L36">
        <v>0</v>
      </c>
      <c r="M36">
        <v>0</v>
      </c>
      <c r="N36" s="16">
        <v>0.65015046296296297</v>
      </c>
      <c r="O36" t="s">
        <v>140</v>
      </c>
      <c r="P36">
        <v>1500000118457120</v>
      </c>
      <c r="Q36" t="s">
        <v>130</v>
      </c>
      <c r="S36" t="s">
        <v>136</v>
      </c>
      <c r="T36" t="s">
        <v>137</v>
      </c>
      <c r="U36" t="s">
        <v>130</v>
      </c>
      <c r="V36" t="s">
        <v>138</v>
      </c>
      <c r="W36">
        <v>455</v>
      </c>
      <c r="X36" t="s">
        <v>139</v>
      </c>
      <c r="Y36">
        <v>18.7</v>
      </c>
      <c r="Z36">
        <v>3646.5</v>
      </c>
      <c r="AC36">
        <v>0</v>
      </c>
    </row>
    <row r="37" spans="1:29">
      <c r="A37" t="s">
        <v>130</v>
      </c>
      <c r="B37" t="s">
        <v>81</v>
      </c>
      <c r="C37" t="s">
        <v>143</v>
      </c>
      <c r="D37" t="s">
        <v>82</v>
      </c>
      <c r="E37" t="s">
        <v>132</v>
      </c>
      <c r="F37" t="s">
        <v>133</v>
      </c>
      <c r="G37">
        <v>65</v>
      </c>
      <c r="H37">
        <v>650</v>
      </c>
      <c r="I37" s="16">
        <v>0.65015046296296297</v>
      </c>
      <c r="J37">
        <v>1210135846</v>
      </c>
      <c r="K37" t="s">
        <v>153</v>
      </c>
      <c r="L37">
        <v>0</v>
      </c>
      <c r="M37">
        <v>0</v>
      </c>
      <c r="N37" s="16">
        <v>0.65015046296296297</v>
      </c>
      <c r="O37" t="s">
        <v>140</v>
      </c>
      <c r="P37">
        <v>1500000118457120</v>
      </c>
      <c r="Q37" t="s">
        <v>130</v>
      </c>
      <c r="S37" t="s">
        <v>136</v>
      </c>
      <c r="T37" t="s">
        <v>137</v>
      </c>
      <c r="U37" t="s">
        <v>130</v>
      </c>
      <c r="V37" t="s">
        <v>138</v>
      </c>
      <c r="W37">
        <v>585</v>
      </c>
      <c r="X37" t="s">
        <v>139</v>
      </c>
      <c r="Y37">
        <v>18.7</v>
      </c>
      <c r="Z37">
        <v>1215.5</v>
      </c>
      <c r="AC37">
        <v>0</v>
      </c>
    </row>
    <row r="38" spans="1:29">
      <c r="A38" t="s">
        <v>130</v>
      </c>
      <c r="B38" t="s">
        <v>81</v>
      </c>
      <c r="C38" t="s">
        <v>156</v>
      </c>
      <c r="D38" t="s">
        <v>82</v>
      </c>
      <c r="E38" t="s">
        <v>132</v>
      </c>
      <c r="F38" t="s">
        <v>142</v>
      </c>
      <c r="G38">
        <v>130</v>
      </c>
      <c r="H38">
        <v>130</v>
      </c>
      <c r="I38" s="16">
        <v>0.64337962962962958</v>
      </c>
      <c r="J38">
        <v>1210134696</v>
      </c>
      <c r="K38" t="s">
        <v>134</v>
      </c>
      <c r="L38">
        <v>151.19999999999999</v>
      </c>
      <c r="M38">
        <v>0</v>
      </c>
      <c r="N38" s="16">
        <v>0.64337962962962958</v>
      </c>
      <c r="O38" t="s">
        <v>135</v>
      </c>
      <c r="P38">
        <v>1000000119291220</v>
      </c>
      <c r="Q38" t="s">
        <v>130</v>
      </c>
      <c r="S38" t="s">
        <v>136</v>
      </c>
      <c r="T38" t="s">
        <v>137</v>
      </c>
      <c r="U38" t="s">
        <v>130</v>
      </c>
      <c r="V38" t="s">
        <v>138</v>
      </c>
      <c r="W38">
        <v>0</v>
      </c>
      <c r="X38" t="s">
        <v>139</v>
      </c>
      <c r="Y38">
        <v>151.55000000000001</v>
      </c>
      <c r="Z38">
        <v>19701.5</v>
      </c>
      <c r="AC38">
        <v>0</v>
      </c>
    </row>
    <row r="39" spans="1:29">
      <c r="A39" t="s">
        <v>130</v>
      </c>
      <c r="B39" t="s">
        <v>81</v>
      </c>
      <c r="C39" t="s">
        <v>150</v>
      </c>
      <c r="D39" t="s">
        <v>82</v>
      </c>
      <c r="E39" t="s">
        <v>132</v>
      </c>
      <c r="F39" t="s">
        <v>133</v>
      </c>
      <c r="G39">
        <v>65</v>
      </c>
      <c r="H39">
        <v>130</v>
      </c>
      <c r="I39" s="16">
        <v>0.64292824074074073</v>
      </c>
      <c r="J39">
        <v>1210134684</v>
      </c>
      <c r="K39" t="s">
        <v>134</v>
      </c>
      <c r="L39">
        <v>101.95</v>
      </c>
      <c r="M39">
        <v>0</v>
      </c>
      <c r="N39" s="16">
        <v>0.64292824074074073</v>
      </c>
      <c r="O39" t="s">
        <v>135</v>
      </c>
      <c r="P39">
        <v>1500000116914230</v>
      </c>
      <c r="Q39" t="s">
        <v>130</v>
      </c>
      <c r="S39" t="s">
        <v>136</v>
      </c>
      <c r="T39" t="s">
        <v>137</v>
      </c>
      <c r="U39" t="s">
        <v>130</v>
      </c>
      <c r="V39" t="s">
        <v>138</v>
      </c>
      <c r="W39">
        <v>0</v>
      </c>
      <c r="X39" t="s">
        <v>139</v>
      </c>
      <c r="Y39">
        <v>101.95</v>
      </c>
      <c r="Z39">
        <v>13253.5</v>
      </c>
      <c r="AC39">
        <v>0</v>
      </c>
    </row>
    <row r="40" spans="1:29">
      <c r="A40" t="s">
        <v>130</v>
      </c>
      <c r="B40" t="s">
        <v>81</v>
      </c>
      <c r="C40" t="s">
        <v>150</v>
      </c>
      <c r="D40" t="s">
        <v>82</v>
      </c>
      <c r="E40" t="s">
        <v>132</v>
      </c>
      <c r="F40" t="s">
        <v>133</v>
      </c>
      <c r="G40">
        <v>65</v>
      </c>
      <c r="H40">
        <v>130</v>
      </c>
      <c r="I40" s="16">
        <v>0.64292824074074073</v>
      </c>
      <c r="J40">
        <v>1210134684</v>
      </c>
      <c r="K40" t="s">
        <v>134</v>
      </c>
      <c r="L40">
        <v>101.95</v>
      </c>
      <c r="M40">
        <v>0</v>
      </c>
      <c r="N40" s="16">
        <v>0.64292824074074073</v>
      </c>
      <c r="O40" t="s">
        <v>140</v>
      </c>
      <c r="P40">
        <v>1500000116914230</v>
      </c>
      <c r="Q40" t="s">
        <v>130</v>
      </c>
      <c r="S40" t="s">
        <v>136</v>
      </c>
      <c r="T40" t="s">
        <v>137</v>
      </c>
      <c r="U40" t="s">
        <v>130</v>
      </c>
      <c r="V40" t="s">
        <v>138</v>
      </c>
      <c r="W40">
        <v>65</v>
      </c>
      <c r="X40" t="s">
        <v>139</v>
      </c>
      <c r="Y40">
        <v>101.95</v>
      </c>
      <c r="Z40">
        <v>6626.75</v>
      </c>
      <c r="AC40">
        <v>0</v>
      </c>
    </row>
    <row r="41" spans="1:29">
      <c r="A41" t="s">
        <v>130</v>
      </c>
      <c r="B41" t="s">
        <v>81</v>
      </c>
      <c r="C41" t="s">
        <v>157</v>
      </c>
      <c r="D41" t="s">
        <v>82</v>
      </c>
      <c r="E41" t="s">
        <v>132</v>
      </c>
      <c r="F41" t="s">
        <v>142</v>
      </c>
      <c r="G41">
        <v>130</v>
      </c>
      <c r="H41">
        <v>130</v>
      </c>
      <c r="I41" s="16">
        <v>0.63543981481481482</v>
      </c>
      <c r="J41">
        <v>1210029537</v>
      </c>
      <c r="K41" t="s">
        <v>134</v>
      </c>
      <c r="L41">
        <v>177.55</v>
      </c>
      <c r="M41">
        <v>0</v>
      </c>
      <c r="N41" s="16">
        <v>0.63543981481481482</v>
      </c>
      <c r="O41" t="s">
        <v>135</v>
      </c>
      <c r="P41">
        <v>1600000111834180</v>
      </c>
      <c r="Q41" t="s">
        <v>130</v>
      </c>
      <c r="S41" t="s">
        <v>136</v>
      </c>
      <c r="T41" t="s">
        <v>145</v>
      </c>
      <c r="U41" t="s">
        <v>130</v>
      </c>
      <c r="V41" t="s">
        <v>138</v>
      </c>
      <c r="W41">
        <v>0</v>
      </c>
      <c r="X41" t="s">
        <v>139</v>
      </c>
      <c r="Y41">
        <v>180.85</v>
      </c>
      <c r="Z41">
        <v>23510.5</v>
      </c>
      <c r="AC41">
        <v>0</v>
      </c>
    </row>
    <row r="42" spans="1:29">
      <c r="A42" t="s">
        <v>130</v>
      </c>
      <c r="B42" t="s">
        <v>81</v>
      </c>
      <c r="C42" t="s">
        <v>158</v>
      </c>
      <c r="D42" t="s">
        <v>82</v>
      </c>
      <c r="E42" t="s">
        <v>132</v>
      </c>
      <c r="F42" t="s">
        <v>142</v>
      </c>
      <c r="G42">
        <v>65</v>
      </c>
      <c r="H42">
        <v>65</v>
      </c>
      <c r="I42" s="16">
        <v>0.63541666666666663</v>
      </c>
      <c r="J42">
        <v>1210029536</v>
      </c>
      <c r="K42" t="s">
        <v>134</v>
      </c>
      <c r="L42">
        <v>198.05</v>
      </c>
      <c r="M42">
        <v>0</v>
      </c>
      <c r="N42" s="16">
        <v>0.63542824074074078</v>
      </c>
      <c r="O42" t="s">
        <v>135</v>
      </c>
      <c r="P42">
        <v>1600000111827320</v>
      </c>
      <c r="Q42" t="s">
        <v>130</v>
      </c>
      <c r="S42" t="s">
        <v>136</v>
      </c>
      <c r="T42" t="s">
        <v>145</v>
      </c>
      <c r="U42" t="s">
        <v>130</v>
      </c>
      <c r="V42" t="s">
        <v>138</v>
      </c>
      <c r="W42">
        <v>0</v>
      </c>
      <c r="X42" t="s">
        <v>139</v>
      </c>
      <c r="Y42">
        <v>202.8</v>
      </c>
      <c r="Z42">
        <v>13182</v>
      </c>
      <c r="AC42">
        <v>0</v>
      </c>
    </row>
    <row r="43" spans="1:29">
      <c r="A43" t="s">
        <v>130</v>
      </c>
      <c r="B43" t="s">
        <v>81</v>
      </c>
      <c r="C43" t="s">
        <v>158</v>
      </c>
      <c r="D43" t="s">
        <v>82</v>
      </c>
      <c r="E43" t="s">
        <v>132</v>
      </c>
      <c r="F43" t="s">
        <v>133</v>
      </c>
      <c r="G43">
        <v>130</v>
      </c>
      <c r="H43">
        <v>130</v>
      </c>
      <c r="I43" s="16">
        <v>0.63541666666666663</v>
      </c>
      <c r="J43">
        <v>1210029535</v>
      </c>
      <c r="K43" t="s">
        <v>134</v>
      </c>
      <c r="L43">
        <v>205.75</v>
      </c>
      <c r="M43">
        <v>0</v>
      </c>
      <c r="N43" s="16">
        <v>0.63542824074074078</v>
      </c>
      <c r="O43" t="s">
        <v>135</v>
      </c>
      <c r="P43">
        <v>1600000111825460</v>
      </c>
      <c r="Q43" t="s">
        <v>130</v>
      </c>
      <c r="S43" t="s">
        <v>136</v>
      </c>
      <c r="T43" t="s">
        <v>145</v>
      </c>
      <c r="U43" t="s">
        <v>130</v>
      </c>
      <c r="V43" t="s">
        <v>138</v>
      </c>
      <c r="W43">
        <v>0</v>
      </c>
      <c r="X43" t="s">
        <v>139</v>
      </c>
      <c r="Y43">
        <v>203.1</v>
      </c>
      <c r="Z43">
        <v>26403</v>
      </c>
      <c r="AC43">
        <v>0</v>
      </c>
    </row>
    <row r="44" spans="1:29">
      <c r="A44" t="s">
        <v>130</v>
      </c>
      <c r="B44" t="s">
        <v>81</v>
      </c>
      <c r="C44" t="s">
        <v>157</v>
      </c>
      <c r="D44" t="s">
        <v>82</v>
      </c>
      <c r="E44" t="s">
        <v>132</v>
      </c>
      <c r="F44" t="s">
        <v>133</v>
      </c>
      <c r="G44">
        <v>65</v>
      </c>
      <c r="H44">
        <v>65</v>
      </c>
      <c r="I44" s="16">
        <v>0.63541666666666663</v>
      </c>
      <c r="J44">
        <v>1210029534</v>
      </c>
      <c r="K44" t="s">
        <v>134</v>
      </c>
      <c r="L44">
        <v>185.4</v>
      </c>
      <c r="M44">
        <v>0</v>
      </c>
      <c r="N44" s="16">
        <v>0.63541666666666663</v>
      </c>
      <c r="O44" t="s">
        <v>135</v>
      </c>
      <c r="P44">
        <v>1600000111825400</v>
      </c>
      <c r="Q44" t="s">
        <v>130</v>
      </c>
      <c r="S44" t="s">
        <v>136</v>
      </c>
      <c r="T44" t="s">
        <v>145</v>
      </c>
      <c r="U44" t="s">
        <v>130</v>
      </c>
      <c r="V44" t="s">
        <v>138</v>
      </c>
      <c r="W44">
        <v>0</v>
      </c>
      <c r="X44" t="s">
        <v>139</v>
      </c>
      <c r="Y44">
        <v>181.1</v>
      </c>
      <c r="Z44">
        <v>11771.5</v>
      </c>
      <c r="AC44">
        <v>0</v>
      </c>
    </row>
    <row r="45" spans="1:29">
      <c r="A45" t="s">
        <v>130</v>
      </c>
      <c r="B45" t="s">
        <v>81</v>
      </c>
      <c r="C45" t="s">
        <v>143</v>
      </c>
      <c r="D45" t="s">
        <v>82</v>
      </c>
      <c r="E45" t="s">
        <v>132</v>
      </c>
      <c r="F45" t="s">
        <v>133</v>
      </c>
      <c r="G45">
        <v>455</v>
      </c>
      <c r="H45">
        <v>455</v>
      </c>
      <c r="I45" s="16">
        <v>0.62886574074074075</v>
      </c>
      <c r="J45">
        <v>1210133226</v>
      </c>
      <c r="K45" t="s">
        <v>134</v>
      </c>
      <c r="L45">
        <v>21.5</v>
      </c>
      <c r="M45">
        <v>0</v>
      </c>
      <c r="N45" s="16">
        <v>0.62886574074074075</v>
      </c>
      <c r="O45" t="s">
        <v>135</v>
      </c>
      <c r="P45">
        <v>1500000111600200</v>
      </c>
      <c r="Q45" t="s">
        <v>130</v>
      </c>
      <c r="S45" t="s">
        <v>136</v>
      </c>
      <c r="T45" t="s">
        <v>137</v>
      </c>
      <c r="U45" t="s">
        <v>130</v>
      </c>
      <c r="V45" t="s">
        <v>138</v>
      </c>
      <c r="W45">
        <v>0</v>
      </c>
      <c r="X45" t="s">
        <v>139</v>
      </c>
      <c r="Y45">
        <v>21.5</v>
      </c>
      <c r="Z45">
        <v>9782.5</v>
      </c>
      <c r="AC45">
        <v>0</v>
      </c>
    </row>
    <row r="46" spans="1:29">
      <c r="A46" t="s">
        <v>130</v>
      </c>
      <c r="B46" t="s">
        <v>81</v>
      </c>
      <c r="C46" t="s">
        <v>159</v>
      </c>
      <c r="D46" t="s">
        <v>82</v>
      </c>
      <c r="E46" t="s">
        <v>132</v>
      </c>
      <c r="F46" t="s">
        <v>142</v>
      </c>
      <c r="G46">
        <v>65</v>
      </c>
      <c r="H46">
        <v>520</v>
      </c>
      <c r="I46" s="16">
        <v>0.62810185185185186</v>
      </c>
      <c r="J46">
        <v>1210133183</v>
      </c>
      <c r="K46" t="s">
        <v>134</v>
      </c>
      <c r="L46">
        <v>12.55</v>
      </c>
      <c r="M46">
        <v>0</v>
      </c>
      <c r="N46" s="16">
        <v>0.62810185185185186</v>
      </c>
      <c r="O46" t="s">
        <v>135</v>
      </c>
      <c r="P46">
        <v>1300000113449390</v>
      </c>
      <c r="Q46" t="s">
        <v>130</v>
      </c>
      <c r="S46" t="s">
        <v>136</v>
      </c>
      <c r="T46" t="s">
        <v>137</v>
      </c>
      <c r="U46" t="s">
        <v>130</v>
      </c>
      <c r="V46" t="s">
        <v>138</v>
      </c>
      <c r="W46">
        <v>0</v>
      </c>
      <c r="X46" t="s">
        <v>139</v>
      </c>
      <c r="Y46">
        <v>12.55</v>
      </c>
      <c r="Z46">
        <v>6526</v>
      </c>
      <c r="AC46">
        <v>0</v>
      </c>
    </row>
    <row r="47" spans="1:29">
      <c r="A47" t="s">
        <v>130</v>
      </c>
      <c r="B47" t="s">
        <v>81</v>
      </c>
      <c r="C47" t="s">
        <v>159</v>
      </c>
      <c r="D47" t="s">
        <v>82</v>
      </c>
      <c r="E47" t="s">
        <v>132</v>
      </c>
      <c r="F47" t="s">
        <v>142</v>
      </c>
      <c r="G47">
        <v>455</v>
      </c>
      <c r="H47">
        <v>520</v>
      </c>
      <c r="I47" s="16">
        <v>0.62810185185185186</v>
      </c>
      <c r="J47">
        <v>1210133183</v>
      </c>
      <c r="K47" t="s">
        <v>134</v>
      </c>
      <c r="L47">
        <v>12.55</v>
      </c>
      <c r="M47">
        <v>0</v>
      </c>
      <c r="N47" s="16">
        <v>0.62810185185185186</v>
      </c>
      <c r="O47" t="s">
        <v>140</v>
      </c>
      <c r="P47">
        <v>1300000113449390</v>
      </c>
      <c r="Q47" t="s">
        <v>130</v>
      </c>
      <c r="S47" t="s">
        <v>136</v>
      </c>
      <c r="T47" t="s">
        <v>137</v>
      </c>
      <c r="U47" t="s">
        <v>130</v>
      </c>
      <c r="V47" t="s">
        <v>138</v>
      </c>
      <c r="W47">
        <v>65</v>
      </c>
      <c r="X47" t="s">
        <v>139</v>
      </c>
      <c r="Y47">
        <v>12.55</v>
      </c>
      <c r="Z47">
        <v>5710.25</v>
      </c>
      <c r="AC47">
        <v>0</v>
      </c>
    </row>
    <row r="48" spans="1:29">
      <c r="A48" t="s">
        <v>130</v>
      </c>
      <c r="B48" t="s">
        <v>81</v>
      </c>
      <c r="C48" t="s">
        <v>157</v>
      </c>
      <c r="D48" t="s">
        <v>82</v>
      </c>
      <c r="E48" t="s">
        <v>132</v>
      </c>
      <c r="F48" t="s">
        <v>142</v>
      </c>
      <c r="G48">
        <v>65</v>
      </c>
      <c r="H48">
        <v>65</v>
      </c>
      <c r="I48" s="16">
        <v>0.62296296296296294</v>
      </c>
      <c r="J48">
        <v>1210029531</v>
      </c>
      <c r="K48" t="s">
        <v>134</v>
      </c>
      <c r="L48">
        <v>183.2</v>
      </c>
      <c r="M48">
        <v>0</v>
      </c>
      <c r="N48" s="16">
        <v>0.62296296296296294</v>
      </c>
      <c r="O48" t="s">
        <v>135</v>
      </c>
      <c r="P48">
        <v>1600000104541010</v>
      </c>
      <c r="Q48" t="s">
        <v>130</v>
      </c>
      <c r="S48" t="s">
        <v>136</v>
      </c>
      <c r="T48" t="s">
        <v>145</v>
      </c>
      <c r="U48" t="s">
        <v>130</v>
      </c>
      <c r="V48" t="s">
        <v>138</v>
      </c>
      <c r="W48">
        <v>0</v>
      </c>
      <c r="X48" t="s">
        <v>139</v>
      </c>
      <c r="Y48">
        <v>186.2</v>
      </c>
      <c r="Z48">
        <v>12103</v>
      </c>
      <c r="AC48">
        <v>0</v>
      </c>
    </row>
    <row r="49" spans="1:29">
      <c r="A49" t="s">
        <v>130</v>
      </c>
      <c r="B49" t="s">
        <v>81</v>
      </c>
      <c r="C49" t="s">
        <v>158</v>
      </c>
      <c r="D49" t="s">
        <v>82</v>
      </c>
      <c r="E49" t="s">
        <v>132</v>
      </c>
      <c r="F49" t="s">
        <v>133</v>
      </c>
      <c r="G49">
        <v>65</v>
      </c>
      <c r="H49">
        <v>65</v>
      </c>
      <c r="I49" s="16">
        <v>0.62296296296296294</v>
      </c>
      <c r="J49">
        <v>1210029530</v>
      </c>
      <c r="K49" t="s">
        <v>134</v>
      </c>
      <c r="L49">
        <v>205.05</v>
      </c>
      <c r="M49">
        <v>0</v>
      </c>
      <c r="N49" s="16">
        <v>0.62296296296296294</v>
      </c>
      <c r="O49" t="s">
        <v>135</v>
      </c>
      <c r="P49">
        <v>1600000104540940</v>
      </c>
      <c r="Q49" t="s">
        <v>130</v>
      </c>
      <c r="S49" t="s">
        <v>136</v>
      </c>
      <c r="T49" t="s">
        <v>145</v>
      </c>
      <c r="U49" t="s">
        <v>130</v>
      </c>
      <c r="V49" t="s">
        <v>138</v>
      </c>
      <c r="W49">
        <v>0</v>
      </c>
      <c r="X49" t="s">
        <v>139</v>
      </c>
      <c r="Y49">
        <v>201.1</v>
      </c>
      <c r="Z49">
        <v>13071.5</v>
      </c>
      <c r="AC49">
        <v>0</v>
      </c>
    </row>
    <row r="50" spans="1:29">
      <c r="A50" t="s">
        <v>130</v>
      </c>
      <c r="B50" t="s">
        <v>81</v>
      </c>
      <c r="C50" t="s">
        <v>160</v>
      </c>
      <c r="D50" t="s">
        <v>82</v>
      </c>
      <c r="E50" t="s">
        <v>132</v>
      </c>
      <c r="F50" t="s">
        <v>142</v>
      </c>
      <c r="G50">
        <v>65</v>
      </c>
      <c r="H50">
        <v>65</v>
      </c>
      <c r="I50" s="16">
        <v>0.62165509259259255</v>
      </c>
      <c r="J50">
        <v>1210029529</v>
      </c>
      <c r="K50" t="s">
        <v>134</v>
      </c>
      <c r="L50">
        <v>150.94999999999999</v>
      </c>
      <c r="M50">
        <v>0</v>
      </c>
      <c r="N50" s="16">
        <v>0.62165509259259255</v>
      </c>
      <c r="O50" t="s">
        <v>135</v>
      </c>
      <c r="P50">
        <v>1500000105662890</v>
      </c>
      <c r="Q50" t="s">
        <v>130</v>
      </c>
      <c r="S50" t="s">
        <v>136</v>
      </c>
      <c r="T50" t="s">
        <v>145</v>
      </c>
      <c r="U50" t="s">
        <v>130</v>
      </c>
      <c r="V50" t="s">
        <v>138</v>
      </c>
      <c r="W50">
        <v>0</v>
      </c>
      <c r="X50" t="s">
        <v>139</v>
      </c>
      <c r="Y50">
        <v>153.5</v>
      </c>
      <c r="Z50">
        <v>9977.5</v>
      </c>
      <c r="AC50">
        <v>0</v>
      </c>
    </row>
    <row r="51" spans="1:29">
      <c r="A51" t="s">
        <v>130</v>
      </c>
      <c r="B51" t="s">
        <v>81</v>
      </c>
      <c r="C51" t="s">
        <v>161</v>
      </c>
      <c r="D51" t="s">
        <v>82</v>
      </c>
      <c r="E51" t="s">
        <v>132</v>
      </c>
      <c r="F51" t="s">
        <v>133</v>
      </c>
      <c r="G51">
        <v>65</v>
      </c>
      <c r="H51">
        <v>65</v>
      </c>
      <c r="I51" s="16">
        <v>0.62164351851851851</v>
      </c>
      <c r="J51">
        <v>1210029528</v>
      </c>
      <c r="K51" t="s">
        <v>134</v>
      </c>
      <c r="L51">
        <v>255.5</v>
      </c>
      <c r="M51">
        <v>0</v>
      </c>
      <c r="N51" s="16">
        <v>0.62164351851851851</v>
      </c>
      <c r="O51" t="s">
        <v>135</v>
      </c>
      <c r="P51">
        <v>1500000105627180</v>
      </c>
      <c r="Q51" t="s">
        <v>130</v>
      </c>
      <c r="S51" t="s">
        <v>136</v>
      </c>
      <c r="T51" t="s">
        <v>145</v>
      </c>
      <c r="U51" t="s">
        <v>130</v>
      </c>
      <c r="V51" t="s">
        <v>138</v>
      </c>
      <c r="W51">
        <v>0</v>
      </c>
      <c r="X51" t="s">
        <v>139</v>
      </c>
      <c r="Y51">
        <v>245</v>
      </c>
      <c r="Z51">
        <v>15925</v>
      </c>
      <c r="AC51">
        <v>0</v>
      </c>
    </row>
    <row r="52" spans="1:29">
      <c r="A52" t="s">
        <v>130</v>
      </c>
      <c r="B52" t="s">
        <v>81</v>
      </c>
      <c r="C52" t="s">
        <v>143</v>
      </c>
      <c r="D52" t="s">
        <v>82</v>
      </c>
      <c r="E52" t="s">
        <v>132</v>
      </c>
      <c r="F52" t="s">
        <v>133</v>
      </c>
      <c r="G52">
        <v>65</v>
      </c>
      <c r="H52">
        <v>65</v>
      </c>
      <c r="I52" s="16">
        <v>0.62155092592592598</v>
      </c>
      <c r="J52">
        <v>1210131539</v>
      </c>
      <c r="K52" t="s">
        <v>134</v>
      </c>
      <c r="L52">
        <v>20.5</v>
      </c>
      <c r="M52">
        <v>0</v>
      </c>
      <c r="N52" s="16">
        <v>0.62156250000000002</v>
      </c>
      <c r="O52" t="s">
        <v>135</v>
      </c>
      <c r="P52">
        <v>1500000105417480</v>
      </c>
      <c r="Q52" t="s">
        <v>130</v>
      </c>
      <c r="S52" t="s">
        <v>136</v>
      </c>
      <c r="T52" t="s">
        <v>137</v>
      </c>
      <c r="U52" t="s">
        <v>130</v>
      </c>
      <c r="V52" t="s">
        <v>138</v>
      </c>
      <c r="W52">
        <v>0</v>
      </c>
      <c r="X52" t="s">
        <v>139</v>
      </c>
      <c r="Y52">
        <v>20.5</v>
      </c>
      <c r="Z52">
        <v>1332.5</v>
      </c>
      <c r="AC52">
        <v>0</v>
      </c>
    </row>
    <row r="53" spans="1:29">
      <c r="A53" t="s">
        <v>130</v>
      </c>
      <c r="B53" t="s">
        <v>81</v>
      </c>
      <c r="C53" t="s">
        <v>162</v>
      </c>
      <c r="D53" t="s">
        <v>82</v>
      </c>
      <c r="E53" t="s">
        <v>132</v>
      </c>
      <c r="F53" t="s">
        <v>142</v>
      </c>
      <c r="G53">
        <v>130</v>
      </c>
      <c r="H53">
        <v>130</v>
      </c>
      <c r="I53" s="16">
        <v>0.62126157407407412</v>
      </c>
      <c r="J53">
        <v>1210130515</v>
      </c>
      <c r="K53" t="s">
        <v>134</v>
      </c>
      <c r="L53">
        <v>10.25</v>
      </c>
      <c r="M53">
        <v>0</v>
      </c>
      <c r="N53" s="16">
        <v>0.62126157407407412</v>
      </c>
      <c r="O53" t="s">
        <v>135</v>
      </c>
      <c r="P53">
        <v>1200000102877700</v>
      </c>
      <c r="Q53" t="s">
        <v>130</v>
      </c>
      <c r="S53" t="s">
        <v>136</v>
      </c>
      <c r="T53" t="s">
        <v>137</v>
      </c>
      <c r="U53" t="s">
        <v>130</v>
      </c>
      <c r="V53" t="s">
        <v>138</v>
      </c>
      <c r="W53">
        <v>0</v>
      </c>
      <c r="X53" t="s">
        <v>139</v>
      </c>
      <c r="Y53">
        <v>10.6</v>
      </c>
      <c r="Z53">
        <v>1378</v>
      </c>
      <c r="AC53">
        <v>0</v>
      </c>
    </row>
    <row r="54" spans="1:29">
      <c r="A54" t="s">
        <v>130</v>
      </c>
      <c r="B54" t="s">
        <v>81</v>
      </c>
      <c r="C54" t="s">
        <v>158</v>
      </c>
      <c r="D54" t="s">
        <v>82</v>
      </c>
      <c r="E54" t="s">
        <v>132</v>
      </c>
      <c r="F54" t="s">
        <v>142</v>
      </c>
      <c r="G54">
        <v>65</v>
      </c>
      <c r="H54">
        <v>130</v>
      </c>
      <c r="I54" s="16">
        <v>0.61465277777777783</v>
      </c>
      <c r="J54">
        <v>1210029524</v>
      </c>
      <c r="K54" t="s">
        <v>134</v>
      </c>
      <c r="L54">
        <v>180.15</v>
      </c>
      <c r="M54">
        <v>0</v>
      </c>
      <c r="N54" s="16">
        <v>0.61465277777777783</v>
      </c>
      <c r="O54" t="s">
        <v>135</v>
      </c>
      <c r="P54">
        <v>1600000098290710</v>
      </c>
      <c r="Q54" t="s">
        <v>130</v>
      </c>
      <c r="S54" t="s">
        <v>136</v>
      </c>
      <c r="T54" t="s">
        <v>145</v>
      </c>
      <c r="U54" t="s">
        <v>130</v>
      </c>
      <c r="V54" t="s">
        <v>138</v>
      </c>
      <c r="W54">
        <v>0</v>
      </c>
      <c r="X54" t="s">
        <v>139</v>
      </c>
      <c r="Y54">
        <v>184.9</v>
      </c>
      <c r="Z54">
        <v>24037</v>
      </c>
      <c r="AC54">
        <v>0</v>
      </c>
    </row>
    <row r="55" spans="1:29">
      <c r="A55" t="s">
        <v>130</v>
      </c>
      <c r="B55" t="s">
        <v>81</v>
      </c>
      <c r="C55" t="s">
        <v>158</v>
      </c>
      <c r="D55" t="s">
        <v>82</v>
      </c>
      <c r="E55" t="s">
        <v>132</v>
      </c>
      <c r="F55" t="s">
        <v>142</v>
      </c>
      <c r="G55">
        <v>65</v>
      </c>
      <c r="H55">
        <v>130</v>
      </c>
      <c r="I55" s="16">
        <v>0.61465277777777783</v>
      </c>
      <c r="J55">
        <v>1210029524</v>
      </c>
      <c r="K55" t="s">
        <v>134</v>
      </c>
      <c r="L55">
        <v>180.15</v>
      </c>
      <c r="M55">
        <v>0</v>
      </c>
      <c r="N55" s="16">
        <v>0.61465277777777783</v>
      </c>
      <c r="O55" t="s">
        <v>140</v>
      </c>
      <c r="P55">
        <v>1600000098290710</v>
      </c>
      <c r="Q55" t="s">
        <v>130</v>
      </c>
      <c r="S55" t="s">
        <v>136</v>
      </c>
      <c r="T55" t="s">
        <v>145</v>
      </c>
      <c r="U55" t="s">
        <v>130</v>
      </c>
      <c r="V55" t="s">
        <v>138</v>
      </c>
      <c r="W55">
        <v>65</v>
      </c>
      <c r="X55" t="s">
        <v>139</v>
      </c>
      <c r="Y55">
        <v>184.9</v>
      </c>
      <c r="Z55">
        <v>12018.5</v>
      </c>
      <c r="AC55">
        <v>0</v>
      </c>
    </row>
    <row r="56" spans="1:29">
      <c r="A56" t="s">
        <v>130</v>
      </c>
      <c r="B56" t="s">
        <v>81</v>
      </c>
      <c r="C56" t="s">
        <v>157</v>
      </c>
      <c r="D56" t="s">
        <v>82</v>
      </c>
      <c r="E56" t="s">
        <v>132</v>
      </c>
      <c r="F56" t="s">
        <v>133</v>
      </c>
      <c r="G56">
        <v>65</v>
      </c>
      <c r="H56">
        <v>130</v>
      </c>
      <c r="I56" s="16">
        <v>0.61465277777777783</v>
      </c>
      <c r="J56">
        <v>1210029523</v>
      </c>
      <c r="K56" t="s">
        <v>134</v>
      </c>
      <c r="L56">
        <v>206.55</v>
      </c>
      <c r="M56">
        <v>0</v>
      </c>
      <c r="N56" s="16">
        <v>0.61465277777777783</v>
      </c>
      <c r="O56" t="s">
        <v>135</v>
      </c>
      <c r="P56">
        <v>1600000098289610</v>
      </c>
      <c r="Q56" t="s">
        <v>130</v>
      </c>
      <c r="S56" t="s">
        <v>136</v>
      </c>
      <c r="T56" t="s">
        <v>145</v>
      </c>
      <c r="U56" t="s">
        <v>130</v>
      </c>
      <c r="V56" t="s">
        <v>138</v>
      </c>
      <c r="W56">
        <v>0</v>
      </c>
      <c r="X56" t="s">
        <v>139</v>
      </c>
      <c r="Y56">
        <v>201.58</v>
      </c>
      <c r="Z56">
        <v>26204.75</v>
      </c>
      <c r="AC56">
        <v>0</v>
      </c>
    </row>
    <row r="57" spans="1:29">
      <c r="A57" t="s">
        <v>130</v>
      </c>
      <c r="B57" t="s">
        <v>81</v>
      </c>
      <c r="C57" t="s">
        <v>157</v>
      </c>
      <c r="D57" t="s">
        <v>82</v>
      </c>
      <c r="E57" t="s">
        <v>132</v>
      </c>
      <c r="F57" t="s">
        <v>133</v>
      </c>
      <c r="G57">
        <v>65</v>
      </c>
      <c r="H57">
        <v>130</v>
      </c>
      <c r="I57" s="16">
        <v>0.61465277777777783</v>
      </c>
      <c r="J57">
        <v>1210029523</v>
      </c>
      <c r="K57" t="s">
        <v>134</v>
      </c>
      <c r="L57">
        <v>206.55</v>
      </c>
      <c r="M57">
        <v>0</v>
      </c>
      <c r="N57" s="16">
        <v>0.61465277777777783</v>
      </c>
      <c r="O57" t="s">
        <v>140</v>
      </c>
      <c r="P57">
        <v>1600000098289610</v>
      </c>
      <c r="Q57" t="s">
        <v>130</v>
      </c>
      <c r="S57" t="s">
        <v>136</v>
      </c>
      <c r="T57" t="s">
        <v>145</v>
      </c>
      <c r="U57" t="s">
        <v>130</v>
      </c>
      <c r="V57" t="s">
        <v>138</v>
      </c>
      <c r="W57">
        <v>65</v>
      </c>
      <c r="X57" t="s">
        <v>139</v>
      </c>
      <c r="Y57">
        <v>201.55</v>
      </c>
      <c r="Z57">
        <v>13100.75</v>
      </c>
      <c r="AC57">
        <v>0</v>
      </c>
    </row>
    <row r="58" spans="1:29">
      <c r="A58" t="s">
        <v>130</v>
      </c>
      <c r="B58" t="s">
        <v>81</v>
      </c>
      <c r="C58" t="s">
        <v>163</v>
      </c>
      <c r="D58" t="s">
        <v>82</v>
      </c>
      <c r="E58" t="s">
        <v>132</v>
      </c>
      <c r="F58" t="s">
        <v>133</v>
      </c>
      <c r="G58">
        <v>130</v>
      </c>
      <c r="H58">
        <v>130</v>
      </c>
      <c r="I58" s="16">
        <v>0.60872685185185182</v>
      </c>
      <c r="J58">
        <v>1210129013</v>
      </c>
      <c r="K58" t="s">
        <v>134</v>
      </c>
      <c r="L58">
        <v>20.75</v>
      </c>
      <c r="M58">
        <v>0</v>
      </c>
      <c r="N58" s="16">
        <v>0.60872685185185182</v>
      </c>
      <c r="O58" t="s">
        <v>135</v>
      </c>
      <c r="P58">
        <v>1500000097565030</v>
      </c>
      <c r="Q58" t="s">
        <v>130</v>
      </c>
      <c r="S58" t="s">
        <v>136</v>
      </c>
      <c r="T58" t="s">
        <v>137</v>
      </c>
      <c r="U58" t="s">
        <v>130</v>
      </c>
      <c r="V58" t="s">
        <v>138</v>
      </c>
      <c r="W58">
        <v>0</v>
      </c>
      <c r="X58" t="s">
        <v>139</v>
      </c>
      <c r="Y58">
        <v>20.75</v>
      </c>
      <c r="Z58">
        <v>2697.5</v>
      </c>
      <c r="AC58">
        <v>0</v>
      </c>
    </row>
    <row r="59" spans="1:29">
      <c r="A59" t="s">
        <v>130</v>
      </c>
      <c r="B59" t="s">
        <v>81</v>
      </c>
      <c r="C59" t="s">
        <v>161</v>
      </c>
      <c r="D59" t="s">
        <v>82</v>
      </c>
      <c r="E59" t="s">
        <v>132</v>
      </c>
      <c r="F59" t="s">
        <v>142</v>
      </c>
      <c r="G59">
        <v>65</v>
      </c>
      <c r="H59">
        <v>130</v>
      </c>
      <c r="I59" s="16">
        <v>0.60708333333333331</v>
      </c>
      <c r="J59">
        <v>1210128965</v>
      </c>
      <c r="K59" t="s">
        <v>134</v>
      </c>
      <c r="L59">
        <v>206.95</v>
      </c>
      <c r="M59">
        <v>0</v>
      </c>
      <c r="N59" s="16">
        <v>0.60708333333333331</v>
      </c>
      <c r="O59" t="s">
        <v>135</v>
      </c>
      <c r="P59">
        <v>1500000096456730</v>
      </c>
      <c r="Q59" t="s">
        <v>130</v>
      </c>
      <c r="S59" t="s">
        <v>136</v>
      </c>
      <c r="T59" t="s">
        <v>137</v>
      </c>
      <c r="U59" t="s">
        <v>130</v>
      </c>
      <c r="V59" t="s">
        <v>138</v>
      </c>
      <c r="W59">
        <v>0</v>
      </c>
      <c r="X59" t="s">
        <v>139</v>
      </c>
      <c r="Y59">
        <v>207.2</v>
      </c>
      <c r="Z59">
        <v>26936</v>
      </c>
      <c r="AC59">
        <v>0</v>
      </c>
    </row>
    <row r="60" spans="1:29">
      <c r="A60" t="s">
        <v>130</v>
      </c>
      <c r="B60" t="s">
        <v>81</v>
      </c>
      <c r="C60" t="s">
        <v>161</v>
      </c>
      <c r="D60" t="s">
        <v>82</v>
      </c>
      <c r="E60" t="s">
        <v>132</v>
      </c>
      <c r="F60" t="s">
        <v>142</v>
      </c>
      <c r="G60">
        <v>65</v>
      </c>
      <c r="H60">
        <v>130</v>
      </c>
      <c r="I60" s="16">
        <v>0.60708333333333331</v>
      </c>
      <c r="J60">
        <v>1210128965</v>
      </c>
      <c r="K60" t="s">
        <v>134</v>
      </c>
      <c r="L60">
        <v>206.95</v>
      </c>
      <c r="M60">
        <v>0</v>
      </c>
      <c r="N60" s="16">
        <v>0.60708333333333331</v>
      </c>
      <c r="O60" t="s">
        <v>140</v>
      </c>
      <c r="P60">
        <v>1500000096456730</v>
      </c>
      <c r="Q60" t="s">
        <v>130</v>
      </c>
      <c r="S60" t="s">
        <v>136</v>
      </c>
      <c r="T60" t="s">
        <v>137</v>
      </c>
      <c r="U60" t="s">
        <v>130</v>
      </c>
      <c r="V60" t="s">
        <v>138</v>
      </c>
      <c r="W60">
        <v>65</v>
      </c>
      <c r="X60" t="s">
        <v>139</v>
      </c>
      <c r="Y60">
        <v>207.2</v>
      </c>
      <c r="Z60">
        <v>13468</v>
      </c>
      <c r="AC60">
        <v>0</v>
      </c>
    </row>
    <row r="61" spans="1:29">
      <c r="A61" t="s">
        <v>130</v>
      </c>
      <c r="B61" t="s">
        <v>81</v>
      </c>
      <c r="C61" t="s">
        <v>161</v>
      </c>
      <c r="D61" t="s">
        <v>82</v>
      </c>
      <c r="E61" t="s">
        <v>132</v>
      </c>
      <c r="F61" t="s">
        <v>142</v>
      </c>
      <c r="G61">
        <v>65</v>
      </c>
      <c r="H61">
        <v>65</v>
      </c>
      <c r="I61" s="16">
        <v>0.60212962962962968</v>
      </c>
      <c r="J61">
        <v>1210029517</v>
      </c>
      <c r="K61" t="s">
        <v>134</v>
      </c>
      <c r="L61">
        <v>190.9</v>
      </c>
      <c r="M61">
        <v>0</v>
      </c>
      <c r="N61" s="16">
        <v>0.60212962962962968</v>
      </c>
      <c r="O61" t="s">
        <v>135</v>
      </c>
      <c r="P61">
        <v>1500000093295820</v>
      </c>
      <c r="Q61" t="s">
        <v>130</v>
      </c>
      <c r="S61" t="s">
        <v>136</v>
      </c>
      <c r="T61" t="s">
        <v>145</v>
      </c>
      <c r="U61" t="s">
        <v>130</v>
      </c>
      <c r="V61" t="s">
        <v>138</v>
      </c>
      <c r="W61">
        <v>0</v>
      </c>
      <c r="X61" t="s">
        <v>139</v>
      </c>
      <c r="Y61">
        <v>194</v>
      </c>
      <c r="Z61">
        <v>12610</v>
      </c>
      <c r="AC61">
        <v>0</v>
      </c>
    </row>
    <row r="62" spans="1:29">
      <c r="A62" t="s">
        <v>130</v>
      </c>
      <c r="B62" t="s">
        <v>81</v>
      </c>
      <c r="C62" t="s">
        <v>161</v>
      </c>
      <c r="D62" t="s">
        <v>82</v>
      </c>
      <c r="E62" t="s">
        <v>132</v>
      </c>
      <c r="F62" t="s">
        <v>142</v>
      </c>
      <c r="G62">
        <v>65</v>
      </c>
      <c r="H62">
        <v>65</v>
      </c>
      <c r="I62" s="16">
        <v>0.60210648148148149</v>
      </c>
      <c r="J62">
        <v>1210029516</v>
      </c>
      <c r="K62" t="s">
        <v>134</v>
      </c>
      <c r="L62">
        <v>190.45</v>
      </c>
      <c r="M62">
        <v>0</v>
      </c>
      <c r="N62" s="16">
        <v>0.60210648148148149</v>
      </c>
      <c r="O62" t="s">
        <v>135</v>
      </c>
      <c r="P62">
        <v>1500000093287690</v>
      </c>
      <c r="Q62" t="s">
        <v>130</v>
      </c>
      <c r="S62" t="s">
        <v>136</v>
      </c>
      <c r="T62" t="s">
        <v>145</v>
      </c>
      <c r="U62" t="s">
        <v>130</v>
      </c>
      <c r="V62" t="s">
        <v>138</v>
      </c>
      <c r="W62">
        <v>0</v>
      </c>
      <c r="X62" t="s">
        <v>139</v>
      </c>
      <c r="Y62">
        <v>194</v>
      </c>
      <c r="Z62">
        <v>12610</v>
      </c>
      <c r="AC62">
        <v>0</v>
      </c>
    </row>
    <row r="63" spans="1:29">
      <c r="A63" t="s">
        <v>130</v>
      </c>
      <c r="B63" t="s">
        <v>81</v>
      </c>
      <c r="C63" t="s">
        <v>160</v>
      </c>
      <c r="D63" t="s">
        <v>82</v>
      </c>
      <c r="E63" t="s">
        <v>132</v>
      </c>
      <c r="F63" t="s">
        <v>133</v>
      </c>
      <c r="G63">
        <v>65</v>
      </c>
      <c r="H63">
        <v>65</v>
      </c>
      <c r="I63" s="16">
        <v>0.60210648148148149</v>
      </c>
      <c r="J63">
        <v>1210029515</v>
      </c>
      <c r="K63" t="s">
        <v>134</v>
      </c>
      <c r="L63">
        <v>204.05</v>
      </c>
      <c r="M63">
        <v>0</v>
      </c>
      <c r="N63" s="16">
        <v>0.60210648148148149</v>
      </c>
      <c r="O63" t="s">
        <v>135</v>
      </c>
      <c r="P63">
        <v>1500000093286880</v>
      </c>
      <c r="Q63" t="s">
        <v>130</v>
      </c>
      <c r="S63" t="s">
        <v>136</v>
      </c>
      <c r="T63" t="s">
        <v>145</v>
      </c>
      <c r="U63" t="s">
        <v>130</v>
      </c>
      <c r="V63" t="s">
        <v>138</v>
      </c>
      <c r="W63">
        <v>0</v>
      </c>
      <c r="X63" t="s">
        <v>139</v>
      </c>
      <c r="Y63">
        <v>199.2</v>
      </c>
      <c r="Z63">
        <v>12948</v>
      </c>
      <c r="AC63">
        <v>0</v>
      </c>
    </row>
    <row r="64" spans="1:29">
      <c r="A64" t="s">
        <v>130</v>
      </c>
      <c r="B64" t="s">
        <v>81</v>
      </c>
      <c r="C64" t="s">
        <v>160</v>
      </c>
      <c r="D64" t="s">
        <v>82</v>
      </c>
      <c r="E64" t="s">
        <v>132</v>
      </c>
      <c r="F64" t="s">
        <v>133</v>
      </c>
      <c r="G64">
        <v>65</v>
      </c>
      <c r="H64">
        <v>65</v>
      </c>
      <c r="I64" s="16">
        <v>0.60209490740740745</v>
      </c>
      <c r="J64">
        <v>1210029514</v>
      </c>
      <c r="K64" t="s">
        <v>134</v>
      </c>
      <c r="L64">
        <v>204.05</v>
      </c>
      <c r="M64">
        <v>0</v>
      </c>
      <c r="N64" s="16">
        <v>0.60209490740740745</v>
      </c>
      <c r="O64" t="s">
        <v>135</v>
      </c>
      <c r="P64">
        <v>1500000093281790</v>
      </c>
      <c r="Q64" t="s">
        <v>130</v>
      </c>
      <c r="S64" t="s">
        <v>136</v>
      </c>
      <c r="T64" t="s">
        <v>145</v>
      </c>
      <c r="U64" t="s">
        <v>130</v>
      </c>
      <c r="V64" t="s">
        <v>138</v>
      </c>
      <c r="W64">
        <v>0</v>
      </c>
      <c r="X64" t="s">
        <v>139</v>
      </c>
      <c r="Y64">
        <v>199.25</v>
      </c>
      <c r="Z64">
        <v>12951.25</v>
      </c>
      <c r="AC64">
        <v>0</v>
      </c>
    </row>
    <row r="65" spans="1:29">
      <c r="A65" t="s">
        <v>130</v>
      </c>
      <c r="B65" t="s">
        <v>81</v>
      </c>
      <c r="C65" t="s">
        <v>160</v>
      </c>
      <c r="D65" t="s">
        <v>82</v>
      </c>
      <c r="E65" t="s">
        <v>132</v>
      </c>
      <c r="F65" t="s">
        <v>142</v>
      </c>
      <c r="G65">
        <v>65</v>
      </c>
      <c r="H65">
        <v>65</v>
      </c>
      <c r="I65" s="16">
        <v>0.57225694444444442</v>
      </c>
      <c r="J65">
        <v>1210029491</v>
      </c>
      <c r="K65" t="s">
        <v>134</v>
      </c>
      <c r="L65">
        <v>204.75</v>
      </c>
      <c r="M65">
        <v>0</v>
      </c>
      <c r="N65" s="16">
        <v>0.57225694444444442</v>
      </c>
      <c r="O65" t="s">
        <v>135</v>
      </c>
      <c r="P65">
        <v>1500000083756770</v>
      </c>
      <c r="Q65" t="s">
        <v>130</v>
      </c>
      <c r="S65" t="s">
        <v>136</v>
      </c>
      <c r="T65" t="s">
        <v>145</v>
      </c>
      <c r="U65" t="s">
        <v>130</v>
      </c>
      <c r="V65" t="s">
        <v>138</v>
      </c>
      <c r="W65">
        <v>0</v>
      </c>
      <c r="X65" t="s">
        <v>139</v>
      </c>
      <c r="Y65">
        <v>208.4</v>
      </c>
      <c r="Z65">
        <v>13546</v>
      </c>
      <c r="AC65">
        <v>0</v>
      </c>
    </row>
    <row r="66" spans="1:29">
      <c r="A66" t="s">
        <v>130</v>
      </c>
      <c r="B66" t="s">
        <v>81</v>
      </c>
      <c r="C66" t="s">
        <v>161</v>
      </c>
      <c r="D66" t="s">
        <v>82</v>
      </c>
      <c r="E66" t="s">
        <v>132</v>
      </c>
      <c r="F66" t="s">
        <v>133</v>
      </c>
      <c r="G66">
        <v>65</v>
      </c>
      <c r="H66">
        <v>65</v>
      </c>
      <c r="I66" s="16">
        <v>0.57224537037037038</v>
      </c>
      <c r="J66">
        <v>1210029490</v>
      </c>
      <c r="K66" t="s">
        <v>134</v>
      </c>
      <c r="L66">
        <v>193.1</v>
      </c>
      <c r="M66">
        <v>0</v>
      </c>
      <c r="N66" s="16">
        <v>0.57224537037037038</v>
      </c>
      <c r="O66" t="s">
        <v>135</v>
      </c>
      <c r="P66">
        <v>1500000083753110</v>
      </c>
      <c r="Q66" t="s">
        <v>130</v>
      </c>
      <c r="S66" t="s">
        <v>136</v>
      </c>
      <c r="T66" t="s">
        <v>145</v>
      </c>
      <c r="U66" t="s">
        <v>130</v>
      </c>
      <c r="V66" t="s">
        <v>138</v>
      </c>
      <c r="W66">
        <v>0</v>
      </c>
      <c r="X66" t="s">
        <v>139</v>
      </c>
      <c r="Y66">
        <v>189.45</v>
      </c>
      <c r="Z66">
        <v>12314.25</v>
      </c>
      <c r="AC66">
        <v>0</v>
      </c>
    </row>
    <row r="67" spans="1:29">
      <c r="A67" t="s">
        <v>130</v>
      </c>
      <c r="B67" t="s">
        <v>81</v>
      </c>
      <c r="C67" t="s">
        <v>160</v>
      </c>
      <c r="D67" t="s">
        <v>82</v>
      </c>
      <c r="E67" t="s">
        <v>132</v>
      </c>
      <c r="F67" t="s">
        <v>142</v>
      </c>
      <c r="G67">
        <v>65</v>
      </c>
      <c r="H67">
        <v>65</v>
      </c>
      <c r="I67" s="16">
        <v>0.57224537037037038</v>
      </c>
      <c r="J67">
        <v>1210029489</v>
      </c>
      <c r="K67" t="s">
        <v>134</v>
      </c>
      <c r="L67">
        <v>204.6</v>
      </c>
      <c r="M67">
        <v>0</v>
      </c>
      <c r="N67" s="16">
        <v>0.57224537037037038</v>
      </c>
      <c r="O67" t="s">
        <v>135</v>
      </c>
      <c r="P67">
        <v>1500000083752900</v>
      </c>
      <c r="Q67" t="s">
        <v>130</v>
      </c>
      <c r="S67" t="s">
        <v>136</v>
      </c>
      <c r="T67" t="s">
        <v>145</v>
      </c>
      <c r="U67" t="s">
        <v>130</v>
      </c>
      <c r="V67" t="s">
        <v>138</v>
      </c>
      <c r="W67">
        <v>0</v>
      </c>
      <c r="X67" t="s">
        <v>139</v>
      </c>
      <c r="Y67">
        <v>208.35</v>
      </c>
      <c r="Z67">
        <v>13542.75</v>
      </c>
      <c r="AC67">
        <v>0</v>
      </c>
    </row>
    <row r="68" spans="1:29">
      <c r="A68" t="s">
        <v>130</v>
      </c>
      <c r="B68" t="s">
        <v>81</v>
      </c>
      <c r="C68" t="s">
        <v>161</v>
      </c>
      <c r="D68" t="s">
        <v>82</v>
      </c>
      <c r="E68" t="s">
        <v>132</v>
      </c>
      <c r="F68" t="s">
        <v>133</v>
      </c>
      <c r="G68">
        <v>65</v>
      </c>
      <c r="H68">
        <v>65</v>
      </c>
      <c r="I68" s="16">
        <v>0.57224537037037038</v>
      </c>
      <c r="J68">
        <v>1210029488</v>
      </c>
      <c r="K68" t="s">
        <v>134</v>
      </c>
      <c r="L68">
        <v>193.1</v>
      </c>
      <c r="M68">
        <v>0</v>
      </c>
      <c r="N68" s="16">
        <v>0.57224537037037038</v>
      </c>
      <c r="O68" t="s">
        <v>135</v>
      </c>
      <c r="P68">
        <v>1500000083751030</v>
      </c>
      <c r="Q68" t="s">
        <v>130</v>
      </c>
      <c r="S68" t="s">
        <v>136</v>
      </c>
      <c r="T68" t="s">
        <v>145</v>
      </c>
      <c r="U68" t="s">
        <v>130</v>
      </c>
      <c r="V68" t="s">
        <v>138</v>
      </c>
      <c r="W68">
        <v>0</v>
      </c>
      <c r="X68" t="s">
        <v>139</v>
      </c>
      <c r="Y68">
        <v>189.5</v>
      </c>
      <c r="Z68">
        <v>12317.5</v>
      </c>
      <c r="AC68">
        <v>0</v>
      </c>
    </row>
    <row r="69" spans="1:29">
      <c r="A69" t="s">
        <v>130</v>
      </c>
      <c r="B69" t="s">
        <v>81</v>
      </c>
      <c r="C69" t="s">
        <v>161</v>
      </c>
      <c r="D69" t="s">
        <v>82</v>
      </c>
      <c r="E69" t="s">
        <v>132</v>
      </c>
      <c r="F69" t="s">
        <v>142</v>
      </c>
      <c r="G69">
        <v>65</v>
      </c>
      <c r="H69">
        <v>65</v>
      </c>
      <c r="I69" s="16">
        <v>0.55495370370370367</v>
      </c>
      <c r="J69">
        <v>1210029475</v>
      </c>
      <c r="K69" t="s">
        <v>134</v>
      </c>
      <c r="L69">
        <v>190.35</v>
      </c>
      <c r="M69">
        <v>0</v>
      </c>
      <c r="N69" s="16">
        <v>0.55495370370370367</v>
      </c>
      <c r="O69" t="s">
        <v>135</v>
      </c>
      <c r="P69">
        <v>1500000077663280</v>
      </c>
      <c r="Q69" t="s">
        <v>130</v>
      </c>
      <c r="S69" t="s">
        <v>136</v>
      </c>
      <c r="T69" t="s">
        <v>145</v>
      </c>
      <c r="U69" t="s">
        <v>130</v>
      </c>
      <c r="V69" t="s">
        <v>138</v>
      </c>
      <c r="W69">
        <v>0</v>
      </c>
      <c r="X69" t="s">
        <v>139</v>
      </c>
      <c r="Y69">
        <v>193.45</v>
      </c>
      <c r="Z69">
        <v>12574.25</v>
      </c>
      <c r="AC69">
        <v>0</v>
      </c>
    </row>
    <row r="70" spans="1:29">
      <c r="A70" t="s">
        <v>130</v>
      </c>
      <c r="B70" t="s">
        <v>81</v>
      </c>
      <c r="C70" t="s">
        <v>161</v>
      </c>
      <c r="D70" t="s">
        <v>82</v>
      </c>
      <c r="E70" t="s">
        <v>132</v>
      </c>
      <c r="F70" t="s">
        <v>142</v>
      </c>
      <c r="G70">
        <v>65</v>
      </c>
      <c r="H70">
        <v>65</v>
      </c>
      <c r="I70" s="16">
        <v>0.55494212962962963</v>
      </c>
      <c r="J70">
        <v>1210029474</v>
      </c>
      <c r="K70" t="s">
        <v>134</v>
      </c>
      <c r="L70">
        <v>189.8</v>
      </c>
      <c r="M70">
        <v>0</v>
      </c>
      <c r="N70" s="16">
        <v>0.55494212962962963</v>
      </c>
      <c r="O70" t="s">
        <v>135</v>
      </c>
      <c r="P70">
        <v>1500000077659540</v>
      </c>
      <c r="Q70" t="s">
        <v>130</v>
      </c>
      <c r="S70" t="s">
        <v>136</v>
      </c>
      <c r="T70" t="s">
        <v>145</v>
      </c>
      <c r="U70" t="s">
        <v>130</v>
      </c>
      <c r="V70" t="s">
        <v>138</v>
      </c>
      <c r="W70">
        <v>0</v>
      </c>
      <c r="X70" t="s">
        <v>139</v>
      </c>
      <c r="Y70">
        <v>193.65</v>
      </c>
      <c r="Z70">
        <v>12587.25</v>
      </c>
      <c r="AC70">
        <v>0</v>
      </c>
    </row>
    <row r="71" spans="1:29">
      <c r="A71" t="s">
        <v>130</v>
      </c>
      <c r="B71" t="s">
        <v>81</v>
      </c>
      <c r="C71" t="s">
        <v>160</v>
      </c>
      <c r="D71" t="s">
        <v>82</v>
      </c>
      <c r="E71" t="s">
        <v>132</v>
      </c>
      <c r="F71" t="s">
        <v>133</v>
      </c>
      <c r="G71">
        <v>65</v>
      </c>
      <c r="H71">
        <v>65</v>
      </c>
      <c r="I71" s="16">
        <v>0.55493055555555559</v>
      </c>
      <c r="J71">
        <v>1210029473</v>
      </c>
      <c r="K71" t="s">
        <v>134</v>
      </c>
      <c r="L71">
        <v>208.35</v>
      </c>
      <c r="M71">
        <v>0</v>
      </c>
      <c r="N71" s="16">
        <v>0.55493055555555559</v>
      </c>
      <c r="O71" t="s">
        <v>135</v>
      </c>
      <c r="P71">
        <v>1500000077659090</v>
      </c>
      <c r="Q71" t="s">
        <v>130</v>
      </c>
      <c r="S71" t="s">
        <v>136</v>
      </c>
      <c r="T71" t="s">
        <v>145</v>
      </c>
      <c r="U71" t="s">
        <v>130</v>
      </c>
      <c r="V71" t="s">
        <v>138</v>
      </c>
      <c r="W71">
        <v>0</v>
      </c>
      <c r="X71" t="s">
        <v>139</v>
      </c>
      <c r="Y71">
        <v>203.9</v>
      </c>
      <c r="Z71">
        <v>13253.5</v>
      </c>
      <c r="AC71">
        <v>0</v>
      </c>
    </row>
    <row r="72" spans="1:29">
      <c r="A72" t="s">
        <v>130</v>
      </c>
      <c r="B72" t="s">
        <v>81</v>
      </c>
      <c r="C72" t="s">
        <v>160</v>
      </c>
      <c r="D72" t="s">
        <v>82</v>
      </c>
      <c r="E72" t="s">
        <v>132</v>
      </c>
      <c r="F72" t="s">
        <v>133</v>
      </c>
      <c r="G72">
        <v>65</v>
      </c>
      <c r="H72">
        <v>65</v>
      </c>
      <c r="I72" s="16">
        <v>0.55493055555555559</v>
      </c>
      <c r="J72">
        <v>1210029472</v>
      </c>
      <c r="K72" t="s">
        <v>134</v>
      </c>
      <c r="L72">
        <v>208.35</v>
      </c>
      <c r="M72">
        <v>0</v>
      </c>
      <c r="N72" s="16">
        <v>0.55493055555555559</v>
      </c>
      <c r="O72" t="s">
        <v>135</v>
      </c>
      <c r="P72">
        <v>1500000077656250</v>
      </c>
      <c r="Q72" t="s">
        <v>130</v>
      </c>
      <c r="S72" t="s">
        <v>136</v>
      </c>
      <c r="T72" t="s">
        <v>145</v>
      </c>
      <c r="U72" t="s">
        <v>130</v>
      </c>
      <c r="V72" t="s">
        <v>138</v>
      </c>
      <c r="W72">
        <v>0</v>
      </c>
      <c r="X72" t="s">
        <v>139</v>
      </c>
      <c r="Y72">
        <v>204.05</v>
      </c>
      <c r="Z72">
        <v>13263.25</v>
      </c>
      <c r="AC72">
        <v>0</v>
      </c>
    </row>
    <row r="73" spans="1:29">
      <c r="A73" t="s">
        <v>130</v>
      </c>
      <c r="B73" t="s">
        <v>81</v>
      </c>
      <c r="C73" t="s">
        <v>160</v>
      </c>
      <c r="D73" t="s">
        <v>82</v>
      </c>
      <c r="E73" t="s">
        <v>132</v>
      </c>
      <c r="F73" t="s">
        <v>142</v>
      </c>
      <c r="G73">
        <v>65</v>
      </c>
      <c r="H73">
        <v>65</v>
      </c>
      <c r="I73" s="16">
        <v>0.54033564814814816</v>
      </c>
      <c r="J73">
        <v>1210029467</v>
      </c>
      <c r="K73" t="s">
        <v>134</v>
      </c>
      <c r="L73">
        <v>214.15</v>
      </c>
      <c r="M73">
        <v>0</v>
      </c>
      <c r="N73" s="16">
        <v>0.54033564814814816</v>
      </c>
      <c r="O73" t="s">
        <v>135</v>
      </c>
      <c r="P73">
        <v>1500000073544240</v>
      </c>
      <c r="Q73" t="s">
        <v>130</v>
      </c>
      <c r="S73" t="s">
        <v>136</v>
      </c>
      <c r="T73" t="s">
        <v>145</v>
      </c>
      <c r="U73" t="s">
        <v>130</v>
      </c>
      <c r="V73" t="s">
        <v>138</v>
      </c>
      <c r="W73">
        <v>0</v>
      </c>
      <c r="X73" t="s">
        <v>139</v>
      </c>
      <c r="Y73">
        <v>218.4</v>
      </c>
      <c r="Z73">
        <v>14196</v>
      </c>
      <c r="AC73">
        <v>0</v>
      </c>
    </row>
    <row r="74" spans="1:29">
      <c r="A74" t="s">
        <v>130</v>
      </c>
      <c r="B74" t="s">
        <v>81</v>
      </c>
      <c r="C74" t="s">
        <v>160</v>
      </c>
      <c r="D74" t="s">
        <v>82</v>
      </c>
      <c r="E74" t="s">
        <v>132</v>
      </c>
      <c r="F74" t="s">
        <v>142</v>
      </c>
      <c r="G74">
        <v>65</v>
      </c>
      <c r="H74">
        <v>65</v>
      </c>
      <c r="I74" s="16">
        <v>0.54032407407407412</v>
      </c>
      <c r="J74">
        <v>1210029466</v>
      </c>
      <c r="K74" t="s">
        <v>134</v>
      </c>
      <c r="L74">
        <v>214</v>
      </c>
      <c r="M74">
        <v>0</v>
      </c>
      <c r="N74" s="16">
        <v>0.54032407407407412</v>
      </c>
      <c r="O74" t="s">
        <v>135</v>
      </c>
      <c r="P74">
        <v>1500000073540670</v>
      </c>
      <c r="Q74" t="s">
        <v>130</v>
      </c>
      <c r="S74" t="s">
        <v>136</v>
      </c>
      <c r="T74" t="s">
        <v>145</v>
      </c>
      <c r="U74" t="s">
        <v>130</v>
      </c>
      <c r="V74" t="s">
        <v>138</v>
      </c>
      <c r="W74">
        <v>0</v>
      </c>
      <c r="X74" t="s">
        <v>139</v>
      </c>
      <c r="Y74">
        <v>218.5</v>
      </c>
      <c r="Z74">
        <v>14202.5</v>
      </c>
      <c r="AC74">
        <v>0</v>
      </c>
    </row>
    <row r="75" spans="1:29">
      <c r="A75" t="s">
        <v>130</v>
      </c>
      <c r="B75" t="s">
        <v>81</v>
      </c>
      <c r="C75" t="s">
        <v>161</v>
      </c>
      <c r="D75" t="s">
        <v>82</v>
      </c>
      <c r="E75" t="s">
        <v>132</v>
      </c>
      <c r="F75" t="s">
        <v>133</v>
      </c>
      <c r="G75">
        <v>65</v>
      </c>
      <c r="H75">
        <v>65</v>
      </c>
      <c r="I75" s="16">
        <v>0.54032407407407412</v>
      </c>
      <c r="J75">
        <v>1210029465</v>
      </c>
      <c r="K75" t="s">
        <v>134</v>
      </c>
      <c r="L75">
        <v>190.05</v>
      </c>
      <c r="M75">
        <v>0</v>
      </c>
      <c r="N75" s="16">
        <v>0.54032407407407412</v>
      </c>
      <c r="O75" t="s">
        <v>135</v>
      </c>
      <c r="P75">
        <v>1500000073540630</v>
      </c>
      <c r="Q75" t="s">
        <v>130</v>
      </c>
      <c r="S75" t="s">
        <v>136</v>
      </c>
      <c r="T75" t="s">
        <v>145</v>
      </c>
      <c r="U75" t="s">
        <v>130</v>
      </c>
      <c r="V75" t="s">
        <v>138</v>
      </c>
      <c r="W75">
        <v>0</v>
      </c>
      <c r="X75" t="s">
        <v>139</v>
      </c>
      <c r="Y75">
        <v>186.75</v>
      </c>
      <c r="Z75">
        <v>12138.75</v>
      </c>
      <c r="AC75">
        <v>0</v>
      </c>
    </row>
    <row r="76" spans="1:29">
      <c r="A76" t="s">
        <v>130</v>
      </c>
      <c r="B76" t="s">
        <v>81</v>
      </c>
      <c r="C76" t="s">
        <v>161</v>
      </c>
      <c r="D76" t="s">
        <v>82</v>
      </c>
      <c r="E76" t="s">
        <v>132</v>
      </c>
      <c r="F76" t="s">
        <v>133</v>
      </c>
      <c r="G76">
        <v>65</v>
      </c>
      <c r="H76">
        <v>65</v>
      </c>
      <c r="I76" s="16">
        <v>0.54032407407407412</v>
      </c>
      <c r="J76">
        <v>1210029464</v>
      </c>
      <c r="K76" t="s">
        <v>134</v>
      </c>
      <c r="L76">
        <v>190.05</v>
      </c>
      <c r="M76">
        <v>0</v>
      </c>
      <c r="N76" s="16">
        <v>0.54032407407407412</v>
      </c>
      <c r="O76" t="s">
        <v>135</v>
      </c>
      <c r="P76">
        <v>1500000073540470</v>
      </c>
      <c r="Q76" t="s">
        <v>130</v>
      </c>
      <c r="S76" t="s">
        <v>136</v>
      </c>
      <c r="T76" t="s">
        <v>145</v>
      </c>
      <c r="U76" t="s">
        <v>130</v>
      </c>
      <c r="V76" t="s">
        <v>138</v>
      </c>
      <c r="W76">
        <v>0</v>
      </c>
      <c r="X76" t="s">
        <v>139</v>
      </c>
      <c r="Y76">
        <v>186.7</v>
      </c>
      <c r="Z76">
        <v>12135.5</v>
      </c>
      <c r="AC76">
        <v>0</v>
      </c>
    </row>
    <row r="77" spans="1:29">
      <c r="A77" t="s">
        <v>130</v>
      </c>
      <c r="B77" t="s">
        <v>81</v>
      </c>
      <c r="C77" t="s">
        <v>161</v>
      </c>
      <c r="D77" t="s">
        <v>82</v>
      </c>
      <c r="E77" t="s">
        <v>132</v>
      </c>
      <c r="F77" t="s">
        <v>142</v>
      </c>
      <c r="G77">
        <v>65</v>
      </c>
      <c r="H77">
        <v>65</v>
      </c>
      <c r="I77" s="16">
        <v>0.52368055555555559</v>
      </c>
      <c r="J77">
        <v>1210029460</v>
      </c>
      <c r="K77" t="s">
        <v>134</v>
      </c>
      <c r="L77">
        <v>189.95</v>
      </c>
      <c r="M77">
        <v>0</v>
      </c>
      <c r="N77" s="16">
        <v>0.52368055555555559</v>
      </c>
      <c r="O77" t="s">
        <v>135</v>
      </c>
      <c r="P77">
        <v>1500000068350710</v>
      </c>
      <c r="Q77" t="s">
        <v>130</v>
      </c>
      <c r="S77" t="s">
        <v>136</v>
      </c>
      <c r="T77" t="s">
        <v>145</v>
      </c>
      <c r="U77" t="s">
        <v>130</v>
      </c>
      <c r="V77" t="s">
        <v>138</v>
      </c>
      <c r="W77">
        <v>0</v>
      </c>
      <c r="X77" t="s">
        <v>139</v>
      </c>
      <c r="Y77">
        <v>194</v>
      </c>
      <c r="Z77">
        <v>12610</v>
      </c>
      <c r="AC77">
        <v>0</v>
      </c>
    </row>
    <row r="78" spans="1:29">
      <c r="A78" t="s">
        <v>130</v>
      </c>
      <c r="B78" t="s">
        <v>81</v>
      </c>
      <c r="C78" t="s">
        <v>160</v>
      </c>
      <c r="D78" t="s">
        <v>82</v>
      </c>
      <c r="E78" t="s">
        <v>132</v>
      </c>
      <c r="F78" t="s">
        <v>133</v>
      </c>
      <c r="G78">
        <v>65</v>
      </c>
      <c r="H78">
        <v>65</v>
      </c>
      <c r="I78" s="16">
        <v>0.52366898148148144</v>
      </c>
      <c r="J78">
        <v>1210029459</v>
      </c>
      <c r="K78" t="s">
        <v>134</v>
      </c>
      <c r="L78">
        <v>212.7</v>
      </c>
      <c r="M78">
        <v>0</v>
      </c>
      <c r="N78" s="16">
        <v>0.52366898148148144</v>
      </c>
      <c r="O78" t="s">
        <v>135</v>
      </c>
      <c r="P78">
        <v>1500000068346300</v>
      </c>
      <c r="Q78" t="s">
        <v>130</v>
      </c>
      <c r="S78" t="s">
        <v>136</v>
      </c>
      <c r="T78" t="s">
        <v>145</v>
      </c>
      <c r="U78" t="s">
        <v>130</v>
      </c>
      <c r="V78" t="s">
        <v>138</v>
      </c>
      <c r="W78">
        <v>0</v>
      </c>
      <c r="X78" t="s">
        <v>139</v>
      </c>
      <c r="Y78">
        <v>208.5</v>
      </c>
      <c r="Z78">
        <v>13552.5</v>
      </c>
      <c r="AC78">
        <v>0</v>
      </c>
    </row>
    <row r="79" spans="1:29">
      <c r="A79" t="s">
        <v>130</v>
      </c>
      <c r="B79" t="s">
        <v>81</v>
      </c>
      <c r="C79" t="s">
        <v>161</v>
      </c>
      <c r="D79" t="s">
        <v>82</v>
      </c>
      <c r="E79" t="s">
        <v>132</v>
      </c>
      <c r="F79" t="s">
        <v>142</v>
      </c>
      <c r="G79">
        <v>65</v>
      </c>
      <c r="H79">
        <v>65</v>
      </c>
      <c r="I79" s="16">
        <v>0.52366898148148144</v>
      </c>
      <c r="J79">
        <v>1210029458</v>
      </c>
      <c r="K79" t="s">
        <v>134</v>
      </c>
      <c r="L79">
        <v>189.95</v>
      </c>
      <c r="M79">
        <v>0</v>
      </c>
      <c r="N79" s="16">
        <v>0.52366898148148144</v>
      </c>
      <c r="O79" t="s">
        <v>135</v>
      </c>
      <c r="P79">
        <v>1500000068345810</v>
      </c>
      <c r="Q79" t="s">
        <v>130</v>
      </c>
      <c r="S79" t="s">
        <v>136</v>
      </c>
      <c r="T79" t="s">
        <v>145</v>
      </c>
      <c r="U79" t="s">
        <v>130</v>
      </c>
      <c r="V79" t="s">
        <v>138</v>
      </c>
      <c r="W79">
        <v>0</v>
      </c>
      <c r="X79" t="s">
        <v>139</v>
      </c>
      <c r="Y79">
        <v>194.1</v>
      </c>
      <c r="Z79">
        <v>12616.5</v>
      </c>
      <c r="AC79">
        <v>0</v>
      </c>
    </row>
    <row r="80" spans="1:29">
      <c r="A80" t="s">
        <v>130</v>
      </c>
      <c r="B80" t="s">
        <v>81</v>
      </c>
      <c r="C80" t="s">
        <v>160</v>
      </c>
      <c r="D80" t="s">
        <v>82</v>
      </c>
      <c r="E80" t="s">
        <v>132</v>
      </c>
      <c r="F80" t="s">
        <v>133</v>
      </c>
      <c r="G80">
        <v>65</v>
      </c>
      <c r="H80">
        <v>65</v>
      </c>
      <c r="I80" s="16">
        <v>0.5236574074074074</v>
      </c>
      <c r="J80">
        <v>1210029457</v>
      </c>
      <c r="K80" t="s">
        <v>134</v>
      </c>
      <c r="L80">
        <v>212.7</v>
      </c>
      <c r="M80">
        <v>0</v>
      </c>
      <c r="N80" s="16">
        <v>0.5236574074074074</v>
      </c>
      <c r="O80" t="s">
        <v>135</v>
      </c>
      <c r="P80">
        <v>1500000068343220</v>
      </c>
      <c r="Q80" t="s">
        <v>130</v>
      </c>
      <c r="S80" t="s">
        <v>136</v>
      </c>
      <c r="T80" t="s">
        <v>145</v>
      </c>
      <c r="U80" t="s">
        <v>130</v>
      </c>
      <c r="V80" t="s">
        <v>138</v>
      </c>
      <c r="W80">
        <v>0</v>
      </c>
      <c r="X80" t="s">
        <v>139</v>
      </c>
      <c r="Y80">
        <v>208.55</v>
      </c>
      <c r="Z80">
        <v>13555.75</v>
      </c>
      <c r="AC80">
        <v>0</v>
      </c>
    </row>
    <row r="81" spans="1:29">
      <c r="A81" t="s">
        <v>130</v>
      </c>
      <c r="B81" t="s">
        <v>81</v>
      </c>
      <c r="C81" t="s">
        <v>160</v>
      </c>
      <c r="D81" t="s">
        <v>82</v>
      </c>
      <c r="E81" t="s">
        <v>132</v>
      </c>
      <c r="F81" t="s">
        <v>142</v>
      </c>
      <c r="G81">
        <v>65</v>
      </c>
      <c r="H81">
        <v>65</v>
      </c>
      <c r="I81" s="16">
        <v>0.47993055555555558</v>
      </c>
      <c r="J81">
        <v>1210029453</v>
      </c>
      <c r="K81" t="s">
        <v>134</v>
      </c>
      <c r="L81">
        <v>208.1</v>
      </c>
      <c r="M81">
        <v>0</v>
      </c>
      <c r="N81" s="16">
        <v>0.47993055555555558</v>
      </c>
      <c r="O81" t="s">
        <v>135</v>
      </c>
      <c r="P81">
        <v>1500000053334760</v>
      </c>
      <c r="Q81" t="s">
        <v>130</v>
      </c>
      <c r="S81" t="s">
        <v>136</v>
      </c>
      <c r="T81" t="s">
        <v>145</v>
      </c>
      <c r="U81" t="s">
        <v>130</v>
      </c>
      <c r="V81" t="s">
        <v>138</v>
      </c>
      <c r="W81">
        <v>0</v>
      </c>
      <c r="X81" t="s">
        <v>139</v>
      </c>
      <c r="Y81">
        <v>211.95</v>
      </c>
      <c r="Z81">
        <v>13776.75</v>
      </c>
      <c r="AC81">
        <v>0</v>
      </c>
    </row>
    <row r="82" spans="1:29">
      <c r="A82" t="s">
        <v>130</v>
      </c>
      <c r="B82" t="s">
        <v>81</v>
      </c>
      <c r="C82" t="s">
        <v>161</v>
      </c>
      <c r="D82" t="s">
        <v>82</v>
      </c>
      <c r="E82" t="s">
        <v>132</v>
      </c>
      <c r="F82" t="s">
        <v>133</v>
      </c>
      <c r="G82">
        <v>65</v>
      </c>
      <c r="H82">
        <v>65</v>
      </c>
      <c r="I82" s="16">
        <v>0.47991898148148149</v>
      </c>
      <c r="J82">
        <v>1210029452</v>
      </c>
      <c r="K82" t="s">
        <v>134</v>
      </c>
      <c r="L82">
        <v>196.3</v>
      </c>
      <c r="M82">
        <v>0</v>
      </c>
      <c r="N82" s="16">
        <v>0.47991898148148149</v>
      </c>
      <c r="O82" t="s">
        <v>135</v>
      </c>
      <c r="P82">
        <v>1500000053328590</v>
      </c>
      <c r="Q82" t="s">
        <v>130</v>
      </c>
      <c r="S82" t="s">
        <v>136</v>
      </c>
      <c r="T82" t="s">
        <v>145</v>
      </c>
      <c r="U82" t="s">
        <v>130</v>
      </c>
      <c r="V82" t="s">
        <v>138</v>
      </c>
      <c r="W82">
        <v>0</v>
      </c>
      <c r="X82" t="s">
        <v>139</v>
      </c>
      <c r="Y82">
        <v>193.15</v>
      </c>
      <c r="Z82">
        <v>12554.75</v>
      </c>
      <c r="AC82">
        <v>0</v>
      </c>
    </row>
    <row r="83" spans="1:29">
      <c r="A83" t="s">
        <v>130</v>
      </c>
      <c r="B83" t="s">
        <v>81</v>
      </c>
      <c r="C83" t="s">
        <v>160</v>
      </c>
      <c r="D83" t="s">
        <v>82</v>
      </c>
      <c r="E83" t="s">
        <v>132</v>
      </c>
      <c r="F83" t="s">
        <v>142</v>
      </c>
      <c r="G83">
        <v>65</v>
      </c>
      <c r="H83">
        <v>65</v>
      </c>
      <c r="I83" s="16">
        <v>0.47991898148148149</v>
      </c>
      <c r="J83">
        <v>1210029451</v>
      </c>
      <c r="K83" t="s">
        <v>134</v>
      </c>
      <c r="L83">
        <v>207.8</v>
      </c>
      <c r="M83">
        <v>0</v>
      </c>
      <c r="N83" s="16">
        <v>0.47991898148148149</v>
      </c>
      <c r="O83" t="s">
        <v>135</v>
      </c>
      <c r="P83">
        <v>1500000053327500</v>
      </c>
      <c r="Q83" t="s">
        <v>130</v>
      </c>
      <c r="S83" t="s">
        <v>136</v>
      </c>
      <c r="T83" t="s">
        <v>145</v>
      </c>
      <c r="U83" t="s">
        <v>130</v>
      </c>
      <c r="V83" t="s">
        <v>138</v>
      </c>
      <c r="W83">
        <v>0</v>
      </c>
      <c r="X83" t="s">
        <v>139</v>
      </c>
      <c r="Y83">
        <v>212.55</v>
      </c>
      <c r="Z83">
        <v>13815.75</v>
      </c>
      <c r="AC83">
        <v>0</v>
      </c>
    </row>
    <row r="84" spans="1:29">
      <c r="A84" t="s">
        <v>130</v>
      </c>
      <c r="B84" t="s">
        <v>81</v>
      </c>
      <c r="C84" t="s">
        <v>161</v>
      </c>
      <c r="D84" t="s">
        <v>82</v>
      </c>
      <c r="E84" t="s">
        <v>132</v>
      </c>
      <c r="F84" t="s">
        <v>133</v>
      </c>
      <c r="G84">
        <v>65</v>
      </c>
      <c r="H84">
        <v>65</v>
      </c>
      <c r="I84" s="16">
        <v>0.47991898148148149</v>
      </c>
      <c r="J84">
        <v>1210029450</v>
      </c>
      <c r="K84" t="s">
        <v>134</v>
      </c>
      <c r="L84">
        <v>196.85</v>
      </c>
      <c r="M84">
        <v>0</v>
      </c>
      <c r="N84" s="16">
        <v>0.47991898148148149</v>
      </c>
      <c r="O84" t="s">
        <v>135</v>
      </c>
      <c r="P84">
        <v>1500000053324870</v>
      </c>
      <c r="Q84" t="s">
        <v>130</v>
      </c>
      <c r="S84" t="s">
        <v>136</v>
      </c>
      <c r="T84" t="s">
        <v>145</v>
      </c>
      <c r="U84" t="s">
        <v>130</v>
      </c>
      <c r="V84" t="s">
        <v>138</v>
      </c>
      <c r="W84">
        <v>0</v>
      </c>
      <c r="X84" t="s">
        <v>139</v>
      </c>
      <c r="Y84">
        <v>192.9</v>
      </c>
      <c r="Z84">
        <v>12538.5</v>
      </c>
      <c r="AC84">
        <v>0</v>
      </c>
    </row>
    <row r="85" spans="1:29">
      <c r="A85" t="s">
        <v>130</v>
      </c>
      <c r="B85" t="s">
        <v>81</v>
      </c>
      <c r="C85" t="s">
        <v>161</v>
      </c>
      <c r="D85" t="s">
        <v>82</v>
      </c>
      <c r="E85" t="s">
        <v>132</v>
      </c>
      <c r="F85" t="s">
        <v>142</v>
      </c>
      <c r="G85">
        <v>65</v>
      </c>
      <c r="H85">
        <v>65</v>
      </c>
      <c r="I85" s="16">
        <v>0.47435185185185186</v>
      </c>
      <c r="J85">
        <v>1210029448</v>
      </c>
      <c r="K85" t="s">
        <v>134</v>
      </c>
      <c r="L85">
        <v>198.85</v>
      </c>
      <c r="M85">
        <v>0</v>
      </c>
      <c r="N85" s="16">
        <v>0.47435185185185186</v>
      </c>
      <c r="O85" t="s">
        <v>135</v>
      </c>
      <c r="P85">
        <v>1500000050643450</v>
      </c>
      <c r="Q85" t="s">
        <v>130</v>
      </c>
      <c r="S85" t="s">
        <v>136</v>
      </c>
      <c r="T85" t="s">
        <v>145</v>
      </c>
      <c r="U85" t="s">
        <v>130</v>
      </c>
      <c r="V85" t="s">
        <v>138</v>
      </c>
      <c r="W85">
        <v>0</v>
      </c>
      <c r="X85" t="s">
        <v>139</v>
      </c>
      <c r="Y85">
        <v>202.45</v>
      </c>
      <c r="Z85">
        <v>13159.25</v>
      </c>
      <c r="AC85">
        <v>0</v>
      </c>
    </row>
    <row r="86" spans="1:29">
      <c r="A86" t="s">
        <v>130</v>
      </c>
      <c r="B86" t="s">
        <v>81</v>
      </c>
      <c r="C86" t="s">
        <v>161</v>
      </c>
      <c r="D86" t="s">
        <v>82</v>
      </c>
      <c r="E86" t="s">
        <v>132</v>
      </c>
      <c r="F86" t="s">
        <v>142</v>
      </c>
      <c r="G86">
        <v>65</v>
      </c>
      <c r="H86">
        <v>65</v>
      </c>
      <c r="I86" s="16">
        <v>0.47434027777777776</v>
      </c>
      <c r="J86">
        <v>1210029447</v>
      </c>
      <c r="K86" t="s">
        <v>134</v>
      </c>
      <c r="L86">
        <v>198.95</v>
      </c>
      <c r="M86">
        <v>0</v>
      </c>
      <c r="N86" s="16">
        <v>0.47434027777777776</v>
      </c>
      <c r="O86" t="s">
        <v>135</v>
      </c>
      <c r="P86">
        <v>1500000050639440</v>
      </c>
      <c r="Q86" t="s">
        <v>130</v>
      </c>
      <c r="S86" t="s">
        <v>136</v>
      </c>
      <c r="T86" t="s">
        <v>145</v>
      </c>
      <c r="U86" t="s">
        <v>130</v>
      </c>
      <c r="V86" t="s">
        <v>138</v>
      </c>
      <c r="W86">
        <v>0</v>
      </c>
      <c r="X86" t="s">
        <v>139</v>
      </c>
      <c r="Y86">
        <v>202.5</v>
      </c>
      <c r="Z86">
        <v>13162.5</v>
      </c>
      <c r="AC86">
        <v>0</v>
      </c>
    </row>
    <row r="87" spans="1:29">
      <c r="A87" t="s">
        <v>130</v>
      </c>
      <c r="B87" t="s">
        <v>81</v>
      </c>
      <c r="C87" t="s">
        <v>160</v>
      </c>
      <c r="D87" t="s">
        <v>82</v>
      </c>
      <c r="E87" t="s">
        <v>132</v>
      </c>
      <c r="F87" t="s">
        <v>133</v>
      </c>
      <c r="G87">
        <v>65</v>
      </c>
      <c r="H87">
        <v>65</v>
      </c>
      <c r="I87" s="16">
        <v>0.47434027777777776</v>
      </c>
      <c r="J87">
        <v>1210029446</v>
      </c>
      <c r="K87" t="s">
        <v>134</v>
      </c>
      <c r="L87">
        <v>201.3</v>
      </c>
      <c r="M87">
        <v>0</v>
      </c>
      <c r="N87" s="16">
        <v>0.47434027777777776</v>
      </c>
      <c r="O87" t="s">
        <v>135</v>
      </c>
      <c r="P87">
        <v>1500000050638950</v>
      </c>
      <c r="Q87" t="s">
        <v>130</v>
      </c>
      <c r="S87" t="s">
        <v>136</v>
      </c>
      <c r="T87" t="s">
        <v>145</v>
      </c>
      <c r="U87" t="s">
        <v>130</v>
      </c>
      <c r="V87" t="s">
        <v>138</v>
      </c>
      <c r="W87">
        <v>0</v>
      </c>
      <c r="X87" t="s">
        <v>139</v>
      </c>
      <c r="Y87">
        <v>198.2</v>
      </c>
      <c r="Z87">
        <v>12883</v>
      </c>
      <c r="AC87">
        <v>0</v>
      </c>
    </row>
    <row r="88" spans="1:29">
      <c r="A88" t="s">
        <v>130</v>
      </c>
      <c r="B88" t="s">
        <v>81</v>
      </c>
      <c r="C88" t="s">
        <v>160</v>
      </c>
      <c r="D88" t="s">
        <v>82</v>
      </c>
      <c r="E88" t="s">
        <v>132</v>
      </c>
      <c r="F88" t="s">
        <v>133</v>
      </c>
      <c r="G88">
        <v>65</v>
      </c>
      <c r="H88">
        <v>65</v>
      </c>
      <c r="I88" s="16">
        <v>0.47432870370370372</v>
      </c>
      <c r="J88">
        <v>1210029445</v>
      </c>
      <c r="K88" t="s">
        <v>134</v>
      </c>
      <c r="L88">
        <v>201.3</v>
      </c>
      <c r="M88">
        <v>0</v>
      </c>
      <c r="N88" s="16">
        <v>0.47432870370370372</v>
      </c>
      <c r="O88" t="s">
        <v>135</v>
      </c>
      <c r="P88">
        <v>1500000050633880</v>
      </c>
      <c r="Q88" t="s">
        <v>130</v>
      </c>
      <c r="S88" t="s">
        <v>136</v>
      </c>
      <c r="T88" t="s">
        <v>145</v>
      </c>
      <c r="U88" t="s">
        <v>130</v>
      </c>
      <c r="V88" t="s">
        <v>138</v>
      </c>
      <c r="W88">
        <v>0</v>
      </c>
      <c r="X88" t="s">
        <v>139</v>
      </c>
      <c r="Y88">
        <v>197.6</v>
      </c>
      <c r="Z88">
        <v>12844</v>
      </c>
      <c r="AC88">
        <v>0</v>
      </c>
    </row>
    <row r="89" spans="1:29">
      <c r="A89" t="s">
        <v>130</v>
      </c>
      <c r="B89" t="s">
        <v>81</v>
      </c>
      <c r="C89" t="s">
        <v>162</v>
      </c>
      <c r="D89" t="s">
        <v>82</v>
      </c>
      <c r="E89" t="s">
        <v>132</v>
      </c>
      <c r="F89" t="s">
        <v>133</v>
      </c>
      <c r="G89">
        <v>130</v>
      </c>
      <c r="H89">
        <v>130</v>
      </c>
      <c r="I89" s="16">
        <v>0.46219907407407407</v>
      </c>
      <c r="J89">
        <v>1210118056</v>
      </c>
      <c r="K89" t="s">
        <v>134</v>
      </c>
      <c r="L89">
        <v>20.3</v>
      </c>
      <c r="M89">
        <v>0</v>
      </c>
      <c r="N89" s="16">
        <v>0.46219907407407407</v>
      </c>
      <c r="O89" t="s">
        <v>135</v>
      </c>
      <c r="P89">
        <v>1200000042260840</v>
      </c>
      <c r="Q89" t="s">
        <v>130</v>
      </c>
      <c r="S89" t="s">
        <v>136</v>
      </c>
      <c r="T89" t="s">
        <v>137</v>
      </c>
      <c r="U89" t="s">
        <v>130</v>
      </c>
      <c r="V89" t="s">
        <v>138</v>
      </c>
      <c r="W89">
        <v>0</v>
      </c>
      <c r="X89" t="s">
        <v>139</v>
      </c>
      <c r="Y89">
        <v>20.3</v>
      </c>
      <c r="Z89">
        <v>2639</v>
      </c>
      <c r="AC89">
        <v>0</v>
      </c>
    </row>
    <row r="90" spans="1:29">
      <c r="A90" t="s">
        <v>130</v>
      </c>
      <c r="B90" t="s">
        <v>81</v>
      </c>
      <c r="C90" t="s">
        <v>156</v>
      </c>
      <c r="D90" t="s">
        <v>82</v>
      </c>
      <c r="E90" t="s">
        <v>132</v>
      </c>
      <c r="F90" t="s">
        <v>133</v>
      </c>
      <c r="G90">
        <v>65</v>
      </c>
      <c r="H90">
        <v>130</v>
      </c>
      <c r="I90" s="16">
        <v>0.4607060185185185</v>
      </c>
      <c r="J90">
        <v>1210117938</v>
      </c>
      <c r="K90" t="s">
        <v>134</v>
      </c>
      <c r="L90">
        <v>218.8</v>
      </c>
      <c r="M90">
        <v>0</v>
      </c>
      <c r="N90" s="16">
        <v>0.4607060185185185</v>
      </c>
      <c r="O90" t="s">
        <v>135</v>
      </c>
      <c r="P90">
        <v>1000000045267370</v>
      </c>
      <c r="Q90" t="s">
        <v>130</v>
      </c>
      <c r="S90" t="s">
        <v>136</v>
      </c>
      <c r="T90" t="s">
        <v>137</v>
      </c>
      <c r="U90" t="s">
        <v>130</v>
      </c>
      <c r="V90" t="s">
        <v>138</v>
      </c>
      <c r="W90">
        <v>0</v>
      </c>
      <c r="X90" t="s">
        <v>139</v>
      </c>
      <c r="Y90">
        <v>217.65</v>
      </c>
      <c r="Z90">
        <v>28294.5</v>
      </c>
      <c r="AC90">
        <v>0</v>
      </c>
    </row>
    <row r="91" spans="1:29">
      <c r="A91" t="s">
        <v>130</v>
      </c>
      <c r="B91" t="s">
        <v>81</v>
      </c>
      <c r="C91" t="s">
        <v>156</v>
      </c>
      <c r="D91" t="s">
        <v>82</v>
      </c>
      <c r="E91" t="s">
        <v>132</v>
      </c>
      <c r="F91" t="s">
        <v>133</v>
      </c>
      <c r="G91">
        <v>65</v>
      </c>
      <c r="H91">
        <v>130</v>
      </c>
      <c r="I91" s="16">
        <v>0.4607060185185185</v>
      </c>
      <c r="J91">
        <v>1210117938</v>
      </c>
      <c r="K91" t="s">
        <v>134</v>
      </c>
      <c r="L91">
        <v>218.8</v>
      </c>
      <c r="M91">
        <v>0</v>
      </c>
      <c r="N91" s="16">
        <v>0.4607060185185185</v>
      </c>
      <c r="O91" t="s">
        <v>140</v>
      </c>
      <c r="P91">
        <v>1000000045267370</v>
      </c>
      <c r="Q91" t="s">
        <v>130</v>
      </c>
      <c r="S91" t="s">
        <v>136</v>
      </c>
      <c r="T91" t="s">
        <v>137</v>
      </c>
      <c r="U91" t="s">
        <v>130</v>
      </c>
      <c r="V91" t="s">
        <v>138</v>
      </c>
      <c r="W91">
        <v>65</v>
      </c>
      <c r="X91" t="s">
        <v>139</v>
      </c>
      <c r="Y91">
        <v>217.65</v>
      </c>
      <c r="Z91">
        <v>14147.25</v>
      </c>
      <c r="AC91">
        <v>0</v>
      </c>
    </row>
    <row r="92" spans="1:29">
      <c r="A92" t="s">
        <v>130</v>
      </c>
      <c r="B92" t="s">
        <v>81</v>
      </c>
      <c r="C92" t="s">
        <v>160</v>
      </c>
      <c r="D92" t="s">
        <v>82</v>
      </c>
      <c r="E92" t="s">
        <v>132</v>
      </c>
      <c r="F92" t="s">
        <v>142</v>
      </c>
      <c r="G92">
        <v>130</v>
      </c>
      <c r="H92">
        <v>130</v>
      </c>
      <c r="I92" s="16">
        <v>0.46049768518518519</v>
      </c>
      <c r="J92">
        <v>1210117901</v>
      </c>
      <c r="K92" t="s">
        <v>134</v>
      </c>
      <c r="L92">
        <v>208.75</v>
      </c>
      <c r="M92">
        <v>0</v>
      </c>
      <c r="N92" s="16">
        <v>0.46049768518518519</v>
      </c>
      <c r="O92" t="s">
        <v>135</v>
      </c>
      <c r="P92">
        <v>1500000044112840</v>
      </c>
      <c r="Q92" t="s">
        <v>130</v>
      </c>
      <c r="S92" t="s">
        <v>136</v>
      </c>
      <c r="T92" t="s">
        <v>137</v>
      </c>
      <c r="U92" t="s">
        <v>130</v>
      </c>
      <c r="V92" t="s">
        <v>138</v>
      </c>
      <c r="W92">
        <v>0</v>
      </c>
      <c r="X92" t="s">
        <v>139</v>
      </c>
      <c r="Y92">
        <v>208.75</v>
      </c>
      <c r="Z92">
        <v>27137.5</v>
      </c>
      <c r="AC92">
        <v>0</v>
      </c>
    </row>
    <row r="93" spans="1:29">
      <c r="A93" t="s">
        <v>130</v>
      </c>
      <c r="B93" t="s">
        <v>81</v>
      </c>
      <c r="C93" t="s">
        <v>160</v>
      </c>
      <c r="D93" t="s">
        <v>82</v>
      </c>
      <c r="E93" t="s">
        <v>132</v>
      </c>
      <c r="F93" t="s">
        <v>142</v>
      </c>
      <c r="G93">
        <v>65</v>
      </c>
      <c r="H93">
        <v>65</v>
      </c>
      <c r="I93" s="16">
        <v>0.46045138888888887</v>
      </c>
      <c r="J93">
        <v>1210029443</v>
      </c>
      <c r="K93" t="s">
        <v>134</v>
      </c>
      <c r="L93">
        <v>204.3</v>
      </c>
      <c r="M93">
        <v>0</v>
      </c>
      <c r="N93" s="16">
        <v>0.46045138888888887</v>
      </c>
      <c r="O93" t="s">
        <v>135</v>
      </c>
      <c r="P93">
        <v>1500000044115090</v>
      </c>
      <c r="Q93" t="s">
        <v>130</v>
      </c>
      <c r="S93" t="s">
        <v>136</v>
      </c>
      <c r="T93" t="s">
        <v>145</v>
      </c>
      <c r="U93" t="s">
        <v>130</v>
      </c>
      <c r="V93" t="s">
        <v>138</v>
      </c>
      <c r="W93">
        <v>0</v>
      </c>
      <c r="X93" t="s">
        <v>139</v>
      </c>
      <c r="Y93">
        <v>208.45</v>
      </c>
      <c r="Z93">
        <v>13549.25</v>
      </c>
      <c r="AC93">
        <v>0</v>
      </c>
    </row>
    <row r="94" spans="1:29">
      <c r="A94" t="s">
        <v>130</v>
      </c>
      <c r="B94" t="s">
        <v>81</v>
      </c>
      <c r="C94" t="s">
        <v>160</v>
      </c>
      <c r="D94" t="s">
        <v>82</v>
      </c>
      <c r="E94" t="s">
        <v>132</v>
      </c>
      <c r="F94" t="s">
        <v>142</v>
      </c>
      <c r="G94">
        <v>65</v>
      </c>
      <c r="H94">
        <v>65</v>
      </c>
      <c r="I94" s="16">
        <v>0.46043981481481483</v>
      </c>
      <c r="J94">
        <v>1210029442</v>
      </c>
      <c r="K94" t="s">
        <v>134</v>
      </c>
      <c r="L94">
        <v>204.6</v>
      </c>
      <c r="M94">
        <v>0</v>
      </c>
      <c r="N94" s="16">
        <v>0.46043981481481483</v>
      </c>
      <c r="O94" t="s">
        <v>135</v>
      </c>
      <c r="P94">
        <v>1500000044108360</v>
      </c>
      <c r="Q94" t="s">
        <v>130</v>
      </c>
      <c r="S94" t="s">
        <v>136</v>
      </c>
      <c r="T94" t="s">
        <v>145</v>
      </c>
      <c r="U94" t="s">
        <v>130</v>
      </c>
      <c r="V94" t="s">
        <v>138</v>
      </c>
      <c r="W94">
        <v>0</v>
      </c>
      <c r="X94" t="s">
        <v>139</v>
      </c>
      <c r="Y94">
        <v>208.85</v>
      </c>
      <c r="Z94">
        <v>13575.25</v>
      </c>
      <c r="AC94">
        <v>0</v>
      </c>
    </row>
    <row r="95" spans="1:29">
      <c r="A95" t="s">
        <v>130</v>
      </c>
      <c r="B95" t="s">
        <v>81</v>
      </c>
      <c r="C95" t="s">
        <v>161</v>
      </c>
      <c r="D95" t="s">
        <v>82</v>
      </c>
      <c r="E95" t="s">
        <v>132</v>
      </c>
      <c r="F95" t="s">
        <v>133</v>
      </c>
      <c r="G95">
        <v>65</v>
      </c>
      <c r="H95">
        <v>65</v>
      </c>
      <c r="I95" s="16">
        <v>0.46043981481481483</v>
      </c>
      <c r="J95">
        <v>1210029441</v>
      </c>
      <c r="K95" t="s">
        <v>134</v>
      </c>
      <c r="L95">
        <v>202</v>
      </c>
      <c r="M95">
        <v>0</v>
      </c>
      <c r="N95" s="16">
        <v>0.46043981481481483</v>
      </c>
      <c r="O95" t="s">
        <v>135</v>
      </c>
      <c r="P95">
        <v>1500000044107650</v>
      </c>
      <c r="Q95" t="s">
        <v>130</v>
      </c>
      <c r="S95" t="s">
        <v>136</v>
      </c>
      <c r="T95" t="s">
        <v>145</v>
      </c>
      <c r="U95" t="s">
        <v>130</v>
      </c>
      <c r="V95" t="s">
        <v>138</v>
      </c>
      <c r="W95">
        <v>0</v>
      </c>
      <c r="X95" t="s">
        <v>139</v>
      </c>
      <c r="Y95">
        <v>198.95</v>
      </c>
      <c r="Z95">
        <v>12931.75</v>
      </c>
      <c r="AC95">
        <v>0</v>
      </c>
    </row>
    <row r="96" spans="1:29">
      <c r="A96" t="s">
        <v>130</v>
      </c>
      <c r="B96" t="s">
        <v>81</v>
      </c>
      <c r="C96" t="s">
        <v>161</v>
      </c>
      <c r="D96" t="s">
        <v>82</v>
      </c>
      <c r="E96" t="s">
        <v>132</v>
      </c>
      <c r="F96" t="s">
        <v>133</v>
      </c>
      <c r="G96">
        <v>65</v>
      </c>
      <c r="H96">
        <v>65</v>
      </c>
      <c r="I96" s="16">
        <v>0.46042824074074074</v>
      </c>
      <c r="J96">
        <v>1210029440</v>
      </c>
      <c r="K96" t="s">
        <v>134</v>
      </c>
      <c r="L96">
        <v>202</v>
      </c>
      <c r="M96">
        <v>0</v>
      </c>
      <c r="N96" s="16">
        <v>0.46042824074074074</v>
      </c>
      <c r="O96" t="s">
        <v>135</v>
      </c>
      <c r="P96">
        <v>1500000044097520</v>
      </c>
      <c r="Q96" t="s">
        <v>130</v>
      </c>
      <c r="S96" t="s">
        <v>136</v>
      </c>
      <c r="T96" t="s">
        <v>145</v>
      </c>
      <c r="U96" t="s">
        <v>130</v>
      </c>
      <c r="V96" t="s">
        <v>138</v>
      </c>
      <c r="W96">
        <v>0</v>
      </c>
      <c r="X96" t="s">
        <v>139</v>
      </c>
      <c r="Y96">
        <v>198.5</v>
      </c>
      <c r="Z96">
        <v>12902.5</v>
      </c>
      <c r="AC96">
        <v>0</v>
      </c>
    </row>
    <row r="97" spans="1:29">
      <c r="A97" t="s">
        <v>130</v>
      </c>
      <c r="B97" t="s">
        <v>81</v>
      </c>
      <c r="C97" t="s">
        <v>163</v>
      </c>
      <c r="D97" t="s">
        <v>82</v>
      </c>
      <c r="E97" t="s">
        <v>132</v>
      </c>
      <c r="F97" t="s">
        <v>133</v>
      </c>
      <c r="G97">
        <v>130</v>
      </c>
      <c r="H97">
        <v>130</v>
      </c>
      <c r="I97" s="16">
        <v>0.4596412037037037</v>
      </c>
      <c r="J97">
        <v>1210117798</v>
      </c>
      <c r="K97" t="s">
        <v>134</v>
      </c>
      <c r="L97">
        <v>20.75</v>
      </c>
      <c r="M97">
        <v>0</v>
      </c>
      <c r="N97" s="16">
        <v>0.4596527777777778</v>
      </c>
      <c r="O97" t="s">
        <v>135</v>
      </c>
      <c r="P97">
        <v>1500000043422740</v>
      </c>
      <c r="Q97" t="s">
        <v>130</v>
      </c>
      <c r="S97" t="s">
        <v>136</v>
      </c>
      <c r="T97" t="s">
        <v>137</v>
      </c>
      <c r="U97" t="s">
        <v>130</v>
      </c>
      <c r="V97" t="s">
        <v>138</v>
      </c>
      <c r="W97">
        <v>0</v>
      </c>
      <c r="X97" t="s">
        <v>139</v>
      </c>
      <c r="Y97">
        <v>20.65</v>
      </c>
      <c r="Z97">
        <v>2684.5</v>
      </c>
      <c r="AC97">
        <v>0</v>
      </c>
    </row>
    <row r="98" spans="1:29">
      <c r="A98" t="s">
        <v>130</v>
      </c>
      <c r="B98" t="s">
        <v>81</v>
      </c>
      <c r="C98" t="s">
        <v>159</v>
      </c>
      <c r="D98" t="s">
        <v>82</v>
      </c>
      <c r="E98" t="s">
        <v>132</v>
      </c>
      <c r="F98" t="s">
        <v>133</v>
      </c>
      <c r="G98">
        <v>195</v>
      </c>
      <c r="H98">
        <v>260</v>
      </c>
      <c r="I98" s="16">
        <v>0.45940972222222221</v>
      </c>
      <c r="J98">
        <v>1210117763</v>
      </c>
      <c r="K98" t="s">
        <v>153</v>
      </c>
      <c r="L98">
        <v>0</v>
      </c>
      <c r="M98">
        <v>0</v>
      </c>
      <c r="N98" s="16">
        <v>0.45940972222222221</v>
      </c>
      <c r="O98" t="s">
        <v>135</v>
      </c>
      <c r="P98">
        <v>1300000040382670</v>
      </c>
      <c r="Q98" t="s">
        <v>130</v>
      </c>
      <c r="S98" t="s">
        <v>136</v>
      </c>
      <c r="T98" t="s">
        <v>137</v>
      </c>
      <c r="U98" t="s">
        <v>130</v>
      </c>
      <c r="V98" t="s">
        <v>138</v>
      </c>
      <c r="W98">
        <v>0</v>
      </c>
      <c r="X98" t="s">
        <v>139</v>
      </c>
      <c r="Y98">
        <v>23.6</v>
      </c>
      <c r="Z98">
        <v>6136</v>
      </c>
      <c r="AC98">
        <v>0</v>
      </c>
    </row>
    <row r="99" spans="1:29">
      <c r="A99" t="s">
        <v>130</v>
      </c>
      <c r="B99" t="s">
        <v>81</v>
      </c>
      <c r="C99" t="s">
        <v>159</v>
      </c>
      <c r="D99" t="s">
        <v>82</v>
      </c>
      <c r="E99" t="s">
        <v>132</v>
      </c>
      <c r="F99" t="s">
        <v>133</v>
      </c>
      <c r="G99">
        <v>65</v>
      </c>
      <c r="H99">
        <v>260</v>
      </c>
      <c r="I99" s="16">
        <v>0.45940972222222221</v>
      </c>
      <c r="J99">
        <v>1210117763</v>
      </c>
      <c r="K99" t="s">
        <v>153</v>
      </c>
      <c r="L99">
        <v>0</v>
      </c>
      <c r="M99">
        <v>0</v>
      </c>
      <c r="N99" s="16">
        <v>0.45940972222222221</v>
      </c>
      <c r="O99" t="s">
        <v>140</v>
      </c>
      <c r="P99">
        <v>1300000040382670</v>
      </c>
      <c r="Q99" t="s">
        <v>130</v>
      </c>
      <c r="S99" t="s">
        <v>136</v>
      </c>
      <c r="T99" t="s">
        <v>137</v>
      </c>
      <c r="U99" t="s">
        <v>130</v>
      </c>
      <c r="V99" t="s">
        <v>138</v>
      </c>
      <c r="W99">
        <v>195</v>
      </c>
      <c r="X99" t="s">
        <v>139</v>
      </c>
      <c r="Y99">
        <v>23.6</v>
      </c>
      <c r="Z99">
        <v>1534</v>
      </c>
      <c r="AC99">
        <v>0</v>
      </c>
    </row>
    <row r="100" spans="1:29">
      <c r="A100" t="s">
        <v>130</v>
      </c>
      <c r="B100" t="s">
        <v>81</v>
      </c>
      <c r="C100" t="s">
        <v>149</v>
      </c>
      <c r="D100" t="s">
        <v>82</v>
      </c>
      <c r="E100" t="s">
        <v>132</v>
      </c>
      <c r="F100" t="s">
        <v>142</v>
      </c>
      <c r="G100">
        <v>260</v>
      </c>
      <c r="H100">
        <v>260</v>
      </c>
      <c r="I100" s="16">
        <v>0.45879629629629631</v>
      </c>
      <c r="J100">
        <v>1210117730</v>
      </c>
      <c r="K100" t="s">
        <v>134</v>
      </c>
      <c r="L100">
        <v>27.85</v>
      </c>
      <c r="M100">
        <v>0</v>
      </c>
      <c r="N100" s="16">
        <v>0.45879629629629631</v>
      </c>
      <c r="O100" t="s">
        <v>135</v>
      </c>
      <c r="P100">
        <v>1400000040831860</v>
      </c>
      <c r="Q100" t="s">
        <v>130</v>
      </c>
      <c r="S100" t="s">
        <v>136</v>
      </c>
      <c r="T100" t="s">
        <v>137</v>
      </c>
      <c r="U100" t="s">
        <v>130</v>
      </c>
      <c r="V100" t="s">
        <v>138</v>
      </c>
      <c r="W100">
        <v>0</v>
      </c>
      <c r="X100" t="s">
        <v>139</v>
      </c>
      <c r="Y100">
        <v>28.05</v>
      </c>
      <c r="Z100">
        <v>7293</v>
      </c>
      <c r="AC100">
        <v>0</v>
      </c>
    </row>
    <row r="101" spans="1:29">
      <c r="A101" t="s">
        <v>130</v>
      </c>
      <c r="B101" t="s">
        <v>81</v>
      </c>
      <c r="C101" t="s">
        <v>159</v>
      </c>
      <c r="D101" t="s">
        <v>82</v>
      </c>
      <c r="E101" t="s">
        <v>132</v>
      </c>
      <c r="F101" t="s">
        <v>133</v>
      </c>
      <c r="G101">
        <v>195</v>
      </c>
      <c r="H101">
        <v>260</v>
      </c>
      <c r="I101" s="16">
        <v>0.45862268518518517</v>
      </c>
      <c r="J101">
        <v>1210117705</v>
      </c>
      <c r="K101" t="s">
        <v>134</v>
      </c>
      <c r="L101">
        <v>21.5</v>
      </c>
      <c r="M101">
        <v>0</v>
      </c>
      <c r="N101" s="16">
        <v>0.45862268518518517</v>
      </c>
      <c r="O101" t="s">
        <v>135</v>
      </c>
      <c r="P101">
        <v>1300000039910650</v>
      </c>
      <c r="Q101" t="s">
        <v>130</v>
      </c>
      <c r="S101" t="s">
        <v>136</v>
      </c>
      <c r="T101" t="s">
        <v>137</v>
      </c>
      <c r="U101" t="s">
        <v>130</v>
      </c>
      <c r="V101" t="s">
        <v>138</v>
      </c>
      <c r="W101">
        <v>0</v>
      </c>
      <c r="X101" t="s">
        <v>139</v>
      </c>
      <c r="Y101">
        <v>21.4</v>
      </c>
      <c r="Z101">
        <v>5564</v>
      </c>
      <c r="AC101">
        <v>0</v>
      </c>
    </row>
    <row r="102" spans="1:29">
      <c r="A102" t="s">
        <v>130</v>
      </c>
      <c r="B102" t="s">
        <v>81</v>
      </c>
      <c r="C102" t="s">
        <v>159</v>
      </c>
      <c r="D102" t="s">
        <v>82</v>
      </c>
      <c r="E102" t="s">
        <v>132</v>
      </c>
      <c r="F102" t="s">
        <v>133</v>
      </c>
      <c r="G102">
        <v>65</v>
      </c>
      <c r="H102">
        <v>260</v>
      </c>
      <c r="I102" s="16">
        <v>0.45862268518518517</v>
      </c>
      <c r="J102">
        <v>1210117705</v>
      </c>
      <c r="K102" t="s">
        <v>134</v>
      </c>
      <c r="L102">
        <v>21.5</v>
      </c>
      <c r="M102">
        <v>0</v>
      </c>
      <c r="N102" s="16">
        <v>0.45862268518518517</v>
      </c>
      <c r="O102" t="s">
        <v>140</v>
      </c>
      <c r="P102">
        <v>1300000039910650</v>
      </c>
      <c r="Q102" t="s">
        <v>130</v>
      </c>
      <c r="S102" t="s">
        <v>136</v>
      </c>
      <c r="T102" t="s">
        <v>137</v>
      </c>
      <c r="U102" t="s">
        <v>130</v>
      </c>
      <c r="V102" t="s">
        <v>138</v>
      </c>
      <c r="W102">
        <v>195</v>
      </c>
      <c r="X102" t="s">
        <v>139</v>
      </c>
      <c r="Y102">
        <v>21.4</v>
      </c>
      <c r="Z102">
        <v>1391</v>
      </c>
      <c r="AC102">
        <v>0</v>
      </c>
    </row>
    <row r="103" spans="1:29">
      <c r="A103" t="s">
        <v>130</v>
      </c>
      <c r="B103" t="s">
        <v>81</v>
      </c>
      <c r="C103" t="s">
        <v>143</v>
      </c>
      <c r="D103" t="s">
        <v>82</v>
      </c>
      <c r="E103" t="s">
        <v>132</v>
      </c>
      <c r="F103" t="s">
        <v>142</v>
      </c>
      <c r="G103">
        <v>130</v>
      </c>
      <c r="H103">
        <v>130</v>
      </c>
      <c r="I103" s="16">
        <v>0.45793981481481483</v>
      </c>
      <c r="J103">
        <v>1210117666</v>
      </c>
      <c r="K103" t="s">
        <v>134</v>
      </c>
      <c r="L103">
        <v>33.65</v>
      </c>
      <c r="M103">
        <v>0</v>
      </c>
      <c r="N103" s="16">
        <v>0.45793981481481483</v>
      </c>
      <c r="O103" t="s">
        <v>135</v>
      </c>
      <c r="P103">
        <v>1500000041863830</v>
      </c>
      <c r="Q103" t="s">
        <v>130</v>
      </c>
      <c r="S103" t="s">
        <v>136</v>
      </c>
      <c r="T103" t="s">
        <v>137</v>
      </c>
      <c r="U103" t="s">
        <v>130</v>
      </c>
      <c r="V103" t="s">
        <v>138</v>
      </c>
      <c r="W103">
        <v>0</v>
      </c>
      <c r="X103" t="s">
        <v>139</v>
      </c>
      <c r="Y103">
        <v>33.85</v>
      </c>
      <c r="Z103">
        <v>4400.5</v>
      </c>
      <c r="AC103">
        <v>0</v>
      </c>
    </row>
    <row r="104" spans="1:29">
      <c r="A104" t="s">
        <v>130</v>
      </c>
      <c r="B104" t="s">
        <v>81</v>
      </c>
      <c r="C104" t="s">
        <v>164</v>
      </c>
      <c r="D104" t="s">
        <v>82</v>
      </c>
      <c r="E104" t="s">
        <v>132</v>
      </c>
      <c r="F104" t="s">
        <v>142</v>
      </c>
      <c r="G104">
        <v>130</v>
      </c>
      <c r="H104">
        <v>130</v>
      </c>
      <c r="I104" s="16">
        <v>0.45768518518518519</v>
      </c>
      <c r="J104">
        <v>1210117639</v>
      </c>
      <c r="K104" t="s">
        <v>153</v>
      </c>
      <c r="L104">
        <v>0</v>
      </c>
      <c r="M104">
        <v>0</v>
      </c>
      <c r="N104" s="16">
        <v>0.45768518518518519</v>
      </c>
      <c r="O104" t="s">
        <v>135</v>
      </c>
      <c r="P104">
        <v>1300000038811290</v>
      </c>
      <c r="Q104" t="s">
        <v>130</v>
      </c>
      <c r="S104" t="s">
        <v>136</v>
      </c>
      <c r="T104" t="s">
        <v>137</v>
      </c>
      <c r="U104" t="s">
        <v>130</v>
      </c>
      <c r="V104" t="s">
        <v>138</v>
      </c>
      <c r="W104">
        <v>0</v>
      </c>
      <c r="X104" t="s">
        <v>139</v>
      </c>
      <c r="Y104">
        <v>157.65</v>
      </c>
      <c r="Z104">
        <v>20494.5</v>
      </c>
      <c r="AC104">
        <v>0</v>
      </c>
    </row>
    <row r="105" spans="1:29">
      <c r="A105" t="s">
        <v>130</v>
      </c>
      <c r="B105" t="s">
        <v>81</v>
      </c>
      <c r="C105" t="s">
        <v>158</v>
      </c>
      <c r="D105" t="s">
        <v>82</v>
      </c>
      <c r="E105" t="s">
        <v>132</v>
      </c>
      <c r="F105" t="s">
        <v>142</v>
      </c>
      <c r="G105">
        <v>65</v>
      </c>
      <c r="H105">
        <v>65</v>
      </c>
      <c r="I105" s="16">
        <v>0.45768518518518519</v>
      </c>
      <c r="J105">
        <v>1210029438</v>
      </c>
      <c r="K105" t="s">
        <v>134</v>
      </c>
      <c r="L105">
        <v>180.5</v>
      </c>
      <c r="M105">
        <v>0</v>
      </c>
      <c r="N105" s="16">
        <v>0.45768518518518519</v>
      </c>
      <c r="O105" t="s">
        <v>135</v>
      </c>
      <c r="P105">
        <v>1600000041585270</v>
      </c>
      <c r="Q105" t="s">
        <v>130</v>
      </c>
      <c r="S105" t="s">
        <v>136</v>
      </c>
      <c r="T105" t="s">
        <v>145</v>
      </c>
      <c r="U105" t="s">
        <v>130</v>
      </c>
      <c r="V105" t="s">
        <v>138</v>
      </c>
      <c r="W105">
        <v>0</v>
      </c>
      <c r="X105" t="s">
        <v>139</v>
      </c>
      <c r="Y105">
        <v>183.3</v>
      </c>
      <c r="Z105">
        <v>11914.5</v>
      </c>
      <c r="AC105">
        <v>0</v>
      </c>
    </row>
    <row r="106" spans="1:29">
      <c r="A106" t="s">
        <v>130</v>
      </c>
      <c r="B106" t="s">
        <v>81</v>
      </c>
      <c r="C106" t="s">
        <v>161</v>
      </c>
      <c r="D106" t="s">
        <v>82</v>
      </c>
      <c r="E106" t="s">
        <v>132</v>
      </c>
      <c r="F106" t="s">
        <v>142</v>
      </c>
      <c r="G106">
        <v>65</v>
      </c>
      <c r="H106">
        <v>65</v>
      </c>
      <c r="I106" s="16">
        <v>0.4576736111111111</v>
      </c>
      <c r="J106">
        <v>1210029437</v>
      </c>
      <c r="K106" t="s">
        <v>134</v>
      </c>
      <c r="L106">
        <v>205.3</v>
      </c>
      <c r="M106">
        <v>0</v>
      </c>
      <c r="N106" s="16">
        <v>0.4576736111111111</v>
      </c>
      <c r="O106" t="s">
        <v>135</v>
      </c>
      <c r="P106">
        <v>1500000041638350</v>
      </c>
      <c r="Q106" t="s">
        <v>130</v>
      </c>
      <c r="S106" t="s">
        <v>136</v>
      </c>
      <c r="T106" t="s">
        <v>145</v>
      </c>
      <c r="U106" t="s">
        <v>130</v>
      </c>
      <c r="V106" t="s">
        <v>138</v>
      </c>
      <c r="W106">
        <v>0</v>
      </c>
      <c r="X106" t="s">
        <v>139</v>
      </c>
      <c r="Y106">
        <v>209.5</v>
      </c>
      <c r="Z106">
        <v>13617.5</v>
      </c>
      <c r="AC106">
        <v>0</v>
      </c>
    </row>
    <row r="107" spans="1:29">
      <c r="A107" t="s">
        <v>130</v>
      </c>
      <c r="B107" t="s">
        <v>81</v>
      </c>
      <c r="C107" t="s">
        <v>160</v>
      </c>
      <c r="D107" t="s">
        <v>82</v>
      </c>
      <c r="E107" t="s">
        <v>132</v>
      </c>
      <c r="F107" t="s">
        <v>133</v>
      </c>
      <c r="G107">
        <v>65</v>
      </c>
      <c r="H107">
        <v>65</v>
      </c>
      <c r="I107" s="16">
        <v>0.4576736111111111</v>
      </c>
      <c r="J107">
        <v>1210029436</v>
      </c>
      <c r="K107" t="s">
        <v>134</v>
      </c>
      <c r="L107">
        <v>203.05</v>
      </c>
      <c r="M107">
        <v>0</v>
      </c>
      <c r="N107" s="16">
        <v>0.4576736111111111</v>
      </c>
      <c r="O107" t="s">
        <v>135</v>
      </c>
      <c r="P107">
        <v>1500000041638350</v>
      </c>
      <c r="Q107" t="s">
        <v>130</v>
      </c>
      <c r="S107" t="s">
        <v>136</v>
      </c>
      <c r="T107" t="s">
        <v>145</v>
      </c>
      <c r="U107" t="s">
        <v>130</v>
      </c>
      <c r="V107" t="s">
        <v>138</v>
      </c>
      <c r="W107">
        <v>0</v>
      </c>
      <c r="X107" t="s">
        <v>139</v>
      </c>
      <c r="Y107">
        <v>199.7</v>
      </c>
      <c r="Z107">
        <v>12980.5</v>
      </c>
      <c r="AC107">
        <v>0</v>
      </c>
    </row>
    <row r="108" spans="1:29">
      <c r="A108" t="s">
        <v>130</v>
      </c>
      <c r="B108" t="s">
        <v>81</v>
      </c>
      <c r="C108" t="s">
        <v>157</v>
      </c>
      <c r="D108" t="s">
        <v>82</v>
      </c>
      <c r="E108" t="s">
        <v>132</v>
      </c>
      <c r="F108" t="s">
        <v>133</v>
      </c>
      <c r="G108">
        <v>65</v>
      </c>
      <c r="H108">
        <v>65</v>
      </c>
      <c r="I108" s="16">
        <v>0.45766203703703706</v>
      </c>
      <c r="J108">
        <v>1210029435</v>
      </c>
      <c r="K108" t="s">
        <v>134</v>
      </c>
      <c r="L108">
        <v>227.35</v>
      </c>
      <c r="M108">
        <v>0</v>
      </c>
      <c r="N108" s="16">
        <v>0.45766203703703706</v>
      </c>
      <c r="O108" t="s">
        <v>135</v>
      </c>
      <c r="P108">
        <v>1600000041562050</v>
      </c>
      <c r="Q108" t="s">
        <v>130</v>
      </c>
      <c r="S108" t="s">
        <v>136</v>
      </c>
      <c r="T108" t="s">
        <v>145</v>
      </c>
      <c r="U108" t="s">
        <v>130</v>
      </c>
      <c r="V108" t="s">
        <v>138</v>
      </c>
      <c r="W108">
        <v>0</v>
      </c>
      <c r="X108" t="s">
        <v>139</v>
      </c>
      <c r="Y108">
        <v>223.9</v>
      </c>
      <c r="Z108">
        <v>14553.5</v>
      </c>
      <c r="AC108">
        <v>0</v>
      </c>
    </row>
    <row r="109" spans="1:29">
      <c r="A109" t="s">
        <v>130</v>
      </c>
      <c r="B109" t="s">
        <v>81</v>
      </c>
      <c r="C109" t="s">
        <v>131</v>
      </c>
      <c r="D109" t="s">
        <v>82</v>
      </c>
      <c r="E109" t="s">
        <v>132</v>
      </c>
      <c r="F109" t="s">
        <v>142</v>
      </c>
      <c r="G109">
        <v>130</v>
      </c>
      <c r="H109">
        <v>130</v>
      </c>
      <c r="I109" s="16">
        <v>0.44605324074074076</v>
      </c>
      <c r="J109">
        <v>1210107923</v>
      </c>
      <c r="K109" t="s">
        <v>134</v>
      </c>
      <c r="L109">
        <v>11.15</v>
      </c>
      <c r="M109">
        <v>0</v>
      </c>
      <c r="N109" s="16">
        <v>0.44605324074074076</v>
      </c>
      <c r="O109" t="s">
        <v>135</v>
      </c>
      <c r="P109">
        <v>1100000032078370</v>
      </c>
      <c r="Q109" t="s">
        <v>130</v>
      </c>
      <c r="S109" t="s">
        <v>136</v>
      </c>
      <c r="T109" t="s">
        <v>137</v>
      </c>
      <c r="U109" t="s">
        <v>130</v>
      </c>
      <c r="V109" t="s">
        <v>138</v>
      </c>
      <c r="W109">
        <v>0</v>
      </c>
      <c r="X109" t="s">
        <v>139</v>
      </c>
      <c r="Y109">
        <v>11.15</v>
      </c>
      <c r="Z109">
        <v>1449.5</v>
      </c>
      <c r="AC109">
        <v>0</v>
      </c>
    </row>
    <row r="110" spans="1:29">
      <c r="A110" t="s">
        <v>130</v>
      </c>
      <c r="B110" t="s">
        <v>81</v>
      </c>
      <c r="C110" t="s">
        <v>157</v>
      </c>
      <c r="D110" t="s">
        <v>82</v>
      </c>
      <c r="E110" t="s">
        <v>132</v>
      </c>
      <c r="F110" t="s">
        <v>142</v>
      </c>
      <c r="G110">
        <v>65</v>
      </c>
      <c r="H110">
        <v>65</v>
      </c>
      <c r="I110" s="16">
        <v>0.44586805555555553</v>
      </c>
      <c r="J110">
        <v>1210029434</v>
      </c>
      <c r="K110" t="s">
        <v>134</v>
      </c>
      <c r="L110">
        <v>193.75</v>
      </c>
      <c r="M110">
        <v>0</v>
      </c>
      <c r="N110" s="16">
        <v>0.44586805555555553</v>
      </c>
      <c r="O110" t="s">
        <v>135</v>
      </c>
      <c r="P110">
        <v>1600000035872800</v>
      </c>
      <c r="Q110" t="s">
        <v>130</v>
      </c>
      <c r="S110" t="s">
        <v>136</v>
      </c>
      <c r="T110" t="s">
        <v>145</v>
      </c>
      <c r="U110" t="s">
        <v>130</v>
      </c>
      <c r="V110" t="s">
        <v>138</v>
      </c>
      <c r="W110">
        <v>0</v>
      </c>
      <c r="X110" t="s">
        <v>139</v>
      </c>
      <c r="Y110">
        <v>197.75</v>
      </c>
      <c r="Z110">
        <v>12853.75</v>
      </c>
      <c r="AC110">
        <v>0</v>
      </c>
    </row>
    <row r="111" spans="1:29">
      <c r="A111" t="s">
        <v>130</v>
      </c>
      <c r="B111" t="s">
        <v>81</v>
      </c>
      <c r="C111" t="s">
        <v>157</v>
      </c>
      <c r="D111" t="s">
        <v>82</v>
      </c>
      <c r="E111" t="s">
        <v>132</v>
      </c>
      <c r="F111" t="s">
        <v>142</v>
      </c>
      <c r="G111">
        <v>65</v>
      </c>
      <c r="H111">
        <v>65</v>
      </c>
      <c r="I111" s="16">
        <v>0.44585648148148149</v>
      </c>
      <c r="J111">
        <v>1210029433</v>
      </c>
      <c r="K111" t="s">
        <v>134</v>
      </c>
      <c r="L111">
        <v>193.95</v>
      </c>
      <c r="M111">
        <v>0</v>
      </c>
      <c r="N111" s="16">
        <v>0.44585648148148149</v>
      </c>
      <c r="O111" t="s">
        <v>135</v>
      </c>
      <c r="P111">
        <v>1600000035868550</v>
      </c>
      <c r="Q111" t="s">
        <v>130</v>
      </c>
      <c r="S111" t="s">
        <v>136</v>
      </c>
      <c r="T111" t="s">
        <v>145</v>
      </c>
      <c r="U111" t="s">
        <v>130</v>
      </c>
      <c r="V111" t="s">
        <v>138</v>
      </c>
      <c r="W111">
        <v>0</v>
      </c>
      <c r="X111" t="s">
        <v>139</v>
      </c>
      <c r="Y111">
        <v>197.7</v>
      </c>
      <c r="Z111">
        <v>12850.5</v>
      </c>
      <c r="AC111">
        <v>0</v>
      </c>
    </row>
    <row r="112" spans="1:29">
      <c r="A112" t="s">
        <v>130</v>
      </c>
      <c r="B112" t="s">
        <v>81</v>
      </c>
      <c r="C112" t="s">
        <v>158</v>
      </c>
      <c r="D112" t="s">
        <v>82</v>
      </c>
      <c r="E112" t="s">
        <v>132</v>
      </c>
      <c r="F112" t="s">
        <v>133</v>
      </c>
      <c r="G112">
        <v>65</v>
      </c>
      <c r="H112">
        <v>65</v>
      </c>
      <c r="I112" s="16">
        <v>0.44585648148148149</v>
      </c>
      <c r="J112">
        <v>1210029432</v>
      </c>
      <c r="K112" t="s">
        <v>134</v>
      </c>
      <c r="L112">
        <v>204.3</v>
      </c>
      <c r="M112">
        <v>0</v>
      </c>
      <c r="N112" s="16">
        <v>0.44585648148148149</v>
      </c>
      <c r="O112" t="s">
        <v>135</v>
      </c>
      <c r="P112">
        <v>1600000035868470</v>
      </c>
      <c r="Q112" t="s">
        <v>130</v>
      </c>
      <c r="S112" t="s">
        <v>136</v>
      </c>
      <c r="T112" t="s">
        <v>145</v>
      </c>
      <c r="U112" t="s">
        <v>130</v>
      </c>
      <c r="V112" t="s">
        <v>138</v>
      </c>
      <c r="W112">
        <v>0</v>
      </c>
      <c r="X112" t="s">
        <v>139</v>
      </c>
      <c r="Y112">
        <v>201.05</v>
      </c>
      <c r="Z112">
        <v>13068.25</v>
      </c>
      <c r="AC112">
        <v>0</v>
      </c>
    </row>
    <row r="113" spans="1:29">
      <c r="A113" t="s">
        <v>130</v>
      </c>
      <c r="B113" t="s">
        <v>81</v>
      </c>
      <c r="C113" t="s">
        <v>158</v>
      </c>
      <c r="D113" t="s">
        <v>82</v>
      </c>
      <c r="E113" t="s">
        <v>132</v>
      </c>
      <c r="F113" t="s">
        <v>133</v>
      </c>
      <c r="G113">
        <v>65</v>
      </c>
      <c r="H113">
        <v>65</v>
      </c>
      <c r="I113" s="16">
        <v>0.4458449074074074</v>
      </c>
      <c r="J113">
        <v>1210029431</v>
      </c>
      <c r="K113" t="s">
        <v>134</v>
      </c>
      <c r="L113">
        <v>204.3</v>
      </c>
      <c r="M113">
        <v>0</v>
      </c>
      <c r="N113" s="16">
        <v>0.4458449074074074</v>
      </c>
      <c r="O113" t="s">
        <v>135</v>
      </c>
      <c r="P113">
        <v>1600000035862920</v>
      </c>
      <c r="Q113" t="s">
        <v>130</v>
      </c>
      <c r="S113" t="s">
        <v>136</v>
      </c>
      <c r="T113" t="s">
        <v>145</v>
      </c>
      <c r="U113" t="s">
        <v>130</v>
      </c>
      <c r="V113" t="s">
        <v>138</v>
      </c>
      <c r="W113">
        <v>0</v>
      </c>
      <c r="X113" t="s">
        <v>139</v>
      </c>
      <c r="Y113">
        <v>200.9</v>
      </c>
      <c r="Z113">
        <v>13058.5</v>
      </c>
      <c r="AC113">
        <v>0</v>
      </c>
    </row>
    <row r="114" spans="1:29">
      <c r="A114" t="s">
        <v>130</v>
      </c>
      <c r="B114" t="s">
        <v>81</v>
      </c>
      <c r="C114" t="s">
        <v>157</v>
      </c>
      <c r="D114" t="s">
        <v>82</v>
      </c>
      <c r="E114" t="s">
        <v>132</v>
      </c>
      <c r="F114" t="s">
        <v>133</v>
      </c>
      <c r="G114">
        <v>65</v>
      </c>
      <c r="H114">
        <v>65</v>
      </c>
      <c r="I114" s="16">
        <v>0.4403125</v>
      </c>
      <c r="J114">
        <v>1210029430</v>
      </c>
      <c r="K114" t="s">
        <v>134</v>
      </c>
      <c r="L114">
        <v>192.2</v>
      </c>
      <c r="M114">
        <v>0</v>
      </c>
      <c r="N114" s="16">
        <v>0.4403125</v>
      </c>
      <c r="O114" t="s">
        <v>135</v>
      </c>
      <c r="P114">
        <v>1600000033645370</v>
      </c>
      <c r="Q114" t="s">
        <v>130</v>
      </c>
      <c r="S114" t="s">
        <v>136</v>
      </c>
      <c r="T114" t="s">
        <v>145</v>
      </c>
      <c r="U114" t="s">
        <v>130</v>
      </c>
      <c r="V114" t="s">
        <v>138</v>
      </c>
      <c r="W114">
        <v>0</v>
      </c>
      <c r="X114" t="s">
        <v>139</v>
      </c>
      <c r="Y114">
        <v>191.4</v>
      </c>
      <c r="Z114">
        <v>12441</v>
      </c>
      <c r="AC114">
        <v>0</v>
      </c>
    </row>
    <row r="115" spans="1:29">
      <c r="A115" t="s">
        <v>130</v>
      </c>
      <c r="B115" t="s">
        <v>81</v>
      </c>
      <c r="C115" t="s">
        <v>158</v>
      </c>
      <c r="D115" t="s">
        <v>82</v>
      </c>
      <c r="E115" t="s">
        <v>132</v>
      </c>
      <c r="F115" t="s">
        <v>142</v>
      </c>
      <c r="G115">
        <v>65</v>
      </c>
      <c r="H115">
        <v>65</v>
      </c>
      <c r="I115" s="16">
        <v>0.4403125</v>
      </c>
      <c r="J115">
        <v>1210029429</v>
      </c>
      <c r="K115" t="s">
        <v>134</v>
      </c>
      <c r="L115">
        <v>202.75</v>
      </c>
      <c r="M115">
        <v>0</v>
      </c>
      <c r="N115" s="16">
        <v>0.4403125</v>
      </c>
      <c r="O115" t="s">
        <v>135</v>
      </c>
      <c r="P115">
        <v>1600000033644550</v>
      </c>
      <c r="Q115" t="s">
        <v>130</v>
      </c>
      <c r="S115" t="s">
        <v>136</v>
      </c>
      <c r="T115" t="s">
        <v>145</v>
      </c>
      <c r="U115" t="s">
        <v>130</v>
      </c>
      <c r="V115" t="s">
        <v>138</v>
      </c>
      <c r="W115">
        <v>0</v>
      </c>
      <c r="X115" t="s">
        <v>139</v>
      </c>
      <c r="Y115">
        <v>207.4</v>
      </c>
      <c r="Z115">
        <v>13481</v>
      </c>
      <c r="AC115">
        <v>0</v>
      </c>
    </row>
    <row r="116" spans="1:29">
      <c r="A116" t="s">
        <v>130</v>
      </c>
      <c r="B116" t="s">
        <v>81</v>
      </c>
      <c r="C116" t="s">
        <v>147</v>
      </c>
      <c r="D116" t="s">
        <v>82</v>
      </c>
      <c r="E116" t="s">
        <v>132</v>
      </c>
      <c r="F116" t="s">
        <v>142</v>
      </c>
      <c r="G116">
        <v>65</v>
      </c>
      <c r="H116">
        <v>65</v>
      </c>
      <c r="I116" s="16">
        <v>0.41947916666666668</v>
      </c>
      <c r="J116">
        <v>1210029428</v>
      </c>
      <c r="K116" t="s">
        <v>134</v>
      </c>
      <c r="L116">
        <v>170.5</v>
      </c>
      <c r="M116">
        <v>0</v>
      </c>
      <c r="N116" s="16">
        <v>0.41947916666666668</v>
      </c>
      <c r="O116" t="s">
        <v>135</v>
      </c>
      <c r="P116">
        <v>1000000024928000</v>
      </c>
      <c r="Q116" t="s">
        <v>130</v>
      </c>
      <c r="S116" t="s">
        <v>136</v>
      </c>
      <c r="T116" t="s">
        <v>145</v>
      </c>
      <c r="U116" t="s">
        <v>130</v>
      </c>
      <c r="V116" t="s">
        <v>138</v>
      </c>
      <c r="W116">
        <v>0</v>
      </c>
      <c r="X116" t="s">
        <v>139</v>
      </c>
      <c r="Y116">
        <v>174</v>
      </c>
      <c r="Z116">
        <v>11310</v>
      </c>
      <c r="AC116">
        <v>0</v>
      </c>
    </row>
    <row r="117" spans="1:29">
      <c r="A117" t="s">
        <v>130</v>
      </c>
      <c r="B117" t="s">
        <v>81</v>
      </c>
      <c r="C117" t="s">
        <v>148</v>
      </c>
      <c r="D117" t="s">
        <v>82</v>
      </c>
      <c r="E117" t="s">
        <v>132</v>
      </c>
      <c r="F117" t="s">
        <v>133</v>
      </c>
      <c r="G117">
        <v>65</v>
      </c>
      <c r="H117">
        <v>65</v>
      </c>
      <c r="I117" s="16">
        <v>0.41945601851851849</v>
      </c>
      <c r="J117">
        <v>1210029427</v>
      </c>
      <c r="K117" t="s">
        <v>134</v>
      </c>
      <c r="L117">
        <v>233.95</v>
      </c>
      <c r="M117">
        <v>0</v>
      </c>
      <c r="N117" s="16">
        <v>0.41945601851851849</v>
      </c>
      <c r="O117" t="s">
        <v>135</v>
      </c>
      <c r="P117">
        <v>1000000024914510</v>
      </c>
      <c r="Q117" t="s">
        <v>130</v>
      </c>
      <c r="S117" t="s">
        <v>136</v>
      </c>
      <c r="T117" t="s">
        <v>145</v>
      </c>
      <c r="U117" t="s">
        <v>130</v>
      </c>
      <c r="V117" t="s">
        <v>138</v>
      </c>
      <c r="W117">
        <v>0</v>
      </c>
      <c r="X117" t="s">
        <v>139</v>
      </c>
      <c r="Y117">
        <v>230.1</v>
      </c>
      <c r="Z117">
        <v>14956.5</v>
      </c>
      <c r="AC117">
        <v>0</v>
      </c>
    </row>
    <row r="118" spans="1:29">
      <c r="A118" t="s">
        <v>130</v>
      </c>
      <c r="B118" t="s">
        <v>81</v>
      </c>
      <c r="C118" t="s">
        <v>147</v>
      </c>
      <c r="D118" t="s">
        <v>82</v>
      </c>
      <c r="E118" t="s">
        <v>132</v>
      </c>
      <c r="F118" t="s">
        <v>142</v>
      </c>
      <c r="G118">
        <v>130</v>
      </c>
      <c r="H118">
        <v>130</v>
      </c>
      <c r="I118" s="16">
        <v>0.41628472222222224</v>
      </c>
      <c r="J118">
        <v>1210062283</v>
      </c>
      <c r="K118" t="s">
        <v>134</v>
      </c>
      <c r="L118">
        <v>178.65</v>
      </c>
      <c r="M118">
        <v>0</v>
      </c>
      <c r="N118" s="16">
        <v>0.41628472222222224</v>
      </c>
      <c r="O118" t="s">
        <v>135</v>
      </c>
      <c r="P118">
        <v>1000000022596550</v>
      </c>
      <c r="Q118" t="s">
        <v>130</v>
      </c>
      <c r="S118" t="s">
        <v>136</v>
      </c>
      <c r="T118" t="s">
        <v>137</v>
      </c>
      <c r="U118" t="s">
        <v>130</v>
      </c>
      <c r="V118" t="s">
        <v>138</v>
      </c>
      <c r="W118">
        <v>0</v>
      </c>
      <c r="X118" t="s">
        <v>139</v>
      </c>
      <c r="Y118">
        <v>178.65</v>
      </c>
      <c r="Z118">
        <v>23224.5</v>
      </c>
      <c r="AC118">
        <v>0</v>
      </c>
    </row>
    <row r="119" spans="1:29">
      <c r="A119" t="s">
        <v>130</v>
      </c>
      <c r="B119" t="s">
        <v>81</v>
      </c>
      <c r="C119" t="s">
        <v>151</v>
      </c>
      <c r="D119" t="s">
        <v>82</v>
      </c>
      <c r="E119" t="s">
        <v>132</v>
      </c>
      <c r="F119" t="s">
        <v>133</v>
      </c>
      <c r="G119">
        <v>130</v>
      </c>
      <c r="H119">
        <v>130</v>
      </c>
      <c r="I119" s="16">
        <v>0.41615740740740742</v>
      </c>
      <c r="J119">
        <v>1210062271</v>
      </c>
      <c r="K119" t="s">
        <v>134</v>
      </c>
      <c r="L119">
        <v>99.2</v>
      </c>
      <c r="M119">
        <v>0</v>
      </c>
      <c r="N119" s="16">
        <v>0.41615740740740742</v>
      </c>
      <c r="O119" t="s">
        <v>135</v>
      </c>
      <c r="P119">
        <v>1000000022520570</v>
      </c>
      <c r="Q119" t="s">
        <v>130</v>
      </c>
      <c r="S119" t="s">
        <v>136</v>
      </c>
      <c r="T119" t="s">
        <v>137</v>
      </c>
      <c r="U119" t="s">
        <v>130</v>
      </c>
      <c r="V119" t="s">
        <v>138</v>
      </c>
      <c r="W119">
        <v>0</v>
      </c>
      <c r="X119" t="s">
        <v>139</v>
      </c>
      <c r="Y119">
        <v>99.2</v>
      </c>
      <c r="Z119">
        <v>12896</v>
      </c>
      <c r="AC119">
        <v>0</v>
      </c>
    </row>
    <row r="120" spans="1:29">
      <c r="A120" t="s">
        <v>130</v>
      </c>
      <c r="B120" t="s">
        <v>81</v>
      </c>
      <c r="C120" t="s">
        <v>149</v>
      </c>
      <c r="D120" t="s">
        <v>82</v>
      </c>
      <c r="E120" t="s">
        <v>132</v>
      </c>
      <c r="F120" t="s">
        <v>133</v>
      </c>
      <c r="G120">
        <v>130</v>
      </c>
      <c r="H120">
        <v>130</v>
      </c>
      <c r="I120" s="16">
        <v>0.40892361111111108</v>
      </c>
      <c r="J120">
        <v>1210057593</v>
      </c>
      <c r="K120" t="s">
        <v>134</v>
      </c>
      <c r="L120">
        <v>17.95</v>
      </c>
      <c r="M120">
        <v>0</v>
      </c>
      <c r="N120" s="16">
        <v>0.40892361111111108</v>
      </c>
      <c r="O120" t="s">
        <v>135</v>
      </c>
      <c r="P120">
        <v>1400000016233630</v>
      </c>
      <c r="Q120" t="s">
        <v>130</v>
      </c>
      <c r="S120" t="s">
        <v>136</v>
      </c>
      <c r="T120" t="s">
        <v>137</v>
      </c>
      <c r="U120" t="s">
        <v>130</v>
      </c>
      <c r="V120" t="s">
        <v>138</v>
      </c>
      <c r="W120">
        <v>0</v>
      </c>
      <c r="X120" t="s">
        <v>139</v>
      </c>
      <c r="Y120">
        <v>17.899999999999999</v>
      </c>
      <c r="Z120">
        <v>2327</v>
      </c>
      <c r="AC120">
        <v>0</v>
      </c>
    </row>
    <row r="121" spans="1:29">
      <c r="A121" t="s">
        <v>130</v>
      </c>
      <c r="B121" t="s">
        <v>81</v>
      </c>
      <c r="C121" t="s">
        <v>160</v>
      </c>
      <c r="D121" t="s">
        <v>82</v>
      </c>
      <c r="E121" t="s">
        <v>132</v>
      </c>
      <c r="F121" t="s">
        <v>142</v>
      </c>
      <c r="G121">
        <v>65</v>
      </c>
      <c r="H121">
        <v>130</v>
      </c>
      <c r="I121" s="16">
        <v>0.40871527777777777</v>
      </c>
      <c r="J121">
        <v>1210057586</v>
      </c>
      <c r="K121" t="s">
        <v>134</v>
      </c>
      <c r="L121">
        <v>163.19999999999999</v>
      </c>
      <c r="M121">
        <v>0</v>
      </c>
      <c r="N121" s="16">
        <v>0.40871527777777777</v>
      </c>
      <c r="O121" t="s">
        <v>135</v>
      </c>
      <c r="P121">
        <v>1500000016865400</v>
      </c>
      <c r="Q121" t="s">
        <v>130</v>
      </c>
      <c r="S121" t="s">
        <v>136</v>
      </c>
      <c r="T121" t="s">
        <v>137</v>
      </c>
      <c r="U121" t="s">
        <v>130</v>
      </c>
      <c r="V121" t="s">
        <v>138</v>
      </c>
      <c r="W121">
        <v>0</v>
      </c>
      <c r="X121" t="s">
        <v>139</v>
      </c>
      <c r="Y121">
        <v>163.43</v>
      </c>
      <c r="Z121">
        <v>21245.25</v>
      </c>
      <c r="AC121">
        <v>0</v>
      </c>
    </row>
    <row r="122" spans="1:29">
      <c r="A122" t="s">
        <v>130</v>
      </c>
      <c r="B122" t="s">
        <v>81</v>
      </c>
      <c r="C122" t="s">
        <v>160</v>
      </c>
      <c r="D122" t="s">
        <v>82</v>
      </c>
      <c r="E122" t="s">
        <v>132</v>
      </c>
      <c r="F122" t="s">
        <v>142</v>
      </c>
      <c r="G122">
        <v>65</v>
      </c>
      <c r="H122">
        <v>130</v>
      </c>
      <c r="I122" s="16">
        <v>0.40871527777777777</v>
      </c>
      <c r="J122">
        <v>1210057586</v>
      </c>
      <c r="K122" t="s">
        <v>134</v>
      </c>
      <c r="L122">
        <v>163.19999999999999</v>
      </c>
      <c r="M122">
        <v>0</v>
      </c>
      <c r="N122" s="16">
        <v>0.40871527777777777</v>
      </c>
      <c r="O122" t="s">
        <v>140</v>
      </c>
      <c r="P122">
        <v>1500000016865400</v>
      </c>
      <c r="Q122" t="s">
        <v>130</v>
      </c>
      <c r="S122" t="s">
        <v>136</v>
      </c>
      <c r="T122" t="s">
        <v>137</v>
      </c>
      <c r="U122" t="s">
        <v>130</v>
      </c>
      <c r="V122" t="s">
        <v>138</v>
      </c>
      <c r="W122">
        <v>65</v>
      </c>
      <c r="X122" t="s">
        <v>139</v>
      </c>
      <c r="Y122">
        <v>163.44999999999999</v>
      </c>
      <c r="Z122">
        <v>10624.25</v>
      </c>
      <c r="AC122">
        <v>0</v>
      </c>
    </row>
    <row r="123" spans="1:29">
      <c r="A123" t="s">
        <v>130</v>
      </c>
      <c r="B123" t="s">
        <v>81</v>
      </c>
      <c r="C123" t="s">
        <v>148</v>
      </c>
      <c r="D123" t="s">
        <v>82</v>
      </c>
      <c r="E123" t="s">
        <v>132</v>
      </c>
      <c r="F123" t="s">
        <v>142</v>
      </c>
      <c r="G123">
        <v>65</v>
      </c>
      <c r="H123">
        <v>65</v>
      </c>
      <c r="I123" s="16">
        <v>0.39726851851851852</v>
      </c>
      <c r="J123">
        <v>1210029419</v>
      </c>
      <c r="K123" t="s">
        <v>134</v>
      </c>
      <c r="L123">
        <v>187.5</v>
      </c>
      <c r="M123">
        <v>0</v>
      </c>
      <c r="N123" s="16">
        <v>0.39726851851851852</v>
      </c>
      <c r="O123" t="s">
        <v>135</v>
      </c>
      <c r="P123">
        <v>1000000010987220</v>
      </c>
      <c r="Q123" t="s">
        <v>130</v>
      </c>
      <c r="S123" t="s">
        <v>136</v>
      </c>
      <c r="T123" t="s">
        <v>145</v>
      </c>
      <c r="U123" t="s">
        <v>130</v>
      </c>
      <c r="V123" t="s">
        <v>138</v>
      </c>
      <c r="W123">
        <v>0</v>
      </c>
      <c r="X123" t="s">
        <v>139</v>
      </c>
      <c r="Y123">
        <v>191.5</v>
      </c>
      <c r="Z123">
        <v>12447.5</v>
      </c>
      <c r="AC123">
        <v>0</v>
      </c>
    </row>
    <row r="124" spans="1:29">
      <c r="A124" t="s">
        <v>130</v>
      </c>
      <c r="B124" t="s">
        <v>81</v>
      </c>
      <c r="C124" t="s">
        <v>147</v>
      </c>
      <c r="D124" t="s">
        <v>82</v>
      </c>
      <c r="E124" t="s">
        <v>132</v>
      </c>
      <c r="F124" t="s">
        <v>133</v>
      </c>
      <c r="G124">
        <v>65</v>
      </c>
      <c r="H124">
        <v>65</v>
      </c>
      <c r="I124" s="16">
        <v>0.39725694444444443</v>
      </c>
      <c r="J124">
        <v>1210029418</v>
      </c>
      <c r="K124" t="s">
        <v>134</v>
      </c>
      <c r="L124">
        <v>213.85</v>
      </c>
      <c r="M124">
        <v>0</v>
      </c>
      <c r="N124" s="16">
        <v>0.39725694444444443</v>
      </c>
      <c r="O124" t="s">
        <v>135</v>
      </c>
      <c r="P124">
        <v>1000000010979610</v>
      </c>
      <c r="Q124" t="s">
        <v>130</v>
      </c>
      <c r="S124" t="s">
        <v>136</v>
      </c>
      <c r="T124" t="s">
        <v>145</v>
      </c>
      <c r="U124" t="s">
        <v>130</v>
      </c>
      <c r="V124" t="s">
        <v>138</v>
      </c>
      <c r="W124">
        <v>0</v>
      </c>
      <c r="X124" t="s">
        <v>139</v>
      </c>
      <c r="Y124">
        <v>209.6</v>
      </c>
      <c r="Z124">
        <v>13624</v>
      </c>
      <c r="AC124">
        <v>0</v>
      </c>
    </row>
    <row r="125" spans="1:29">
      <c r="A125" t="s">
        <v>130</v>
      </c>
      <c r="B125" t="s">
        <v>81</v>
      </c>
      <c r="C125" t="s">
        <v>148</v>
      </c>
      <c r="D125" t="s">
        <v>82</v>
      </c>
      <c r="E125" t="s">
        <v>132</v>
      </c>
      <c r="F125" t="s">
        <v>142</v>
      </c>
      <c r="G125">
        <v>65</v>
      </c>
      <c r="H125">
        <v>65</v>
      </c>
      <c r="I125" s="16">
        <v>0.39725694444444443</v>
      </c>
      <c r="J125">
        <v>1210029417</v>
      </c>
      <c r="K125" t="s">
        <v>134</v>
      </c>
      <c r="L125">
        <v>187.65</v>
      </c>
      <c r="M125">
        <v>0</v>
      </c>
      <c r="N125" s="16">
        <v>0.39725694444444443</v>
      </c>
      <c r="O125" t="s">
        <v>135</v>
      </c>
      <c r="P125">
        <v>1000000010978200</v>
      </c>
      <c r="Q125" t="s">
        <v>130</v>
      </c>
      <c r="S125" t="s">
        <v>136</v>
      </c>
      <c r="T125" t="s">
        <v>145</v>
      </c>
      <c r="U125" t="s">
        <v>130</v>
      </c>
      <c r="V125" t="s">
        <v>138</v>
      </c>
      <c r="W125">
        <v>0</v>
      </c>
      <c r="X125" t="s">
        <v>139</v>
      </c>
      <c r="Y125">
        <v>191.25</v>
      </c>
      <c r="Z125">
        <v>12431.25</v>
      </c>
      <c r="AC125">
        <v>0</v>
      </c>
    </row>
    <row r="126" spans="1:29">
      <c r="A126" t="s">
        <v>130</v>
      </c>
      <c r="B126" t="s">
        <v>81</v>
      </c>
      <c r="C126" t="s">
        <v>147</v>
      </c>
      <c r="D126" t="s">
        <v>82</v>
      </c>
      <c r="E126" t="s">
        <v>132</v>
      </c>
      <c r="F126" t="s">
        <v>133</v>
      </c>
      <c r="G126">
        <v>65</v>
      </c>
      <c r="H126">
        <v>65</v>
      </c>
      <c r="I126" s="16">
        <v>0.39724537037037039</v>
      </c>
      <c r="J126">
        <v>1210029416</v>
      </c>
      <c r="K126" t="s">
        <v>134</v>
      </c>
      <c r="L126">
        <v>213.85</v>
      </c>
      <c r="M126">
        <v>0</v>
      </c>
      <c r="N126" s="16">
        <v>0.39724537037037039</v>
      </c>
      <c r="O126" t="s">
        <v>135</v>
      </c>
      <c r="P126">
        <v>1000000010969730</v>
      </c>
      <c r="Q126" t="s">
        <v>130</v>
      </c>
      <c r="S126" t="s">
        <v>136</v>
      </c>
      <c r="T126" t="s">
        <v>145</v>
      </c>
      <c r="U126" t="s">
        <v>130</v>
      </c>
      <c r="V126" t="s">
        <v>138</v>
      </c>
      <c r="W126">
        <v>0</v>
      </c>
      <c r="X126" t="s">
        <v>139</v>
      </c>
      <c r="Y126">
        <v>209.35</v>
      </c>
      <c r="Z126">
        <v>13607.75</v>
      </c>
      <c r="AC126">
        <v>0</v>
      </c>
    </row>
    <row r="127" spans="1:29">
      <c r="A127" t="s">
        <v>130</v>
      </c>
      <c r="B127" t="s">
        <v>81</v>
      </c>
      <c r="C127" t="s">
        <v>148</v>
      </c>
      <c r="D127" t="s">
        <v>82</v>
      </c>
      <c r="E127" t="s">
        <v>132</v>
      </c>
      <c r="F127" t="s">
        <v>133</v>
      </c>
      <c r="G127">
        <v>65</v>
      </c>
      <c r="H127">
        <v>65</v>
      </c>
      <c r="I127" s="16">
        <v>0.39307870370370368</v>
      </c>
      <c r="J127">
        <v>1210029411</v>
      </c>
      <c r="K127" t="s">
        <v>134</v>
      </c>
      <c r="L127">
        <v>193.7</v>
      </c>
      <c r="M127">
        <v>0</v>
      </c>
      <c r="N127" s="16">
        <v>0.39307870370370368</v>
      </c>
      <c r="O127" t="s">
        <v>135</v>
      </c>
      <c r="P127">
        <v>1000000007062890</v>
      </c>
      <c r="Q127" t="s">
        <v>130</v>
      </c>
      <c r="S127" t="s">
        <v>136</v>
      </c>
      <c r="T127" t="s">
        <v>145</v>
      </c>
      <c r="U127" t="s">
        <v>130</v>
      </c>
      <c r="V127" t="s">
        <v>138</v>
      </c>
      <c r="W127">
        <v>0</v>
      </c>
      <c r="X127" t="s">
        <v>139</v>
      </c>
      <c r="Y127">
        <v>191.05</v>
      </c>
      <c r="Z127">
        <v>12418.25</v>
      </c>
      <c r="AC127">
        <v>0</v>
      </c>
    </row>
    <row r="128" spans="1:29">
      <c r="A128" t="s">
        <v>130</v>
      </c>
      <c r="B128" t="s">
        <v>81</v>
      </c>
      <c r="C128" t="s">
        <v>147</v>
      </c>
      <c r="D128" t="s">
        <v>82</v>
      </c>
      <c r="E128" t="s">
        <v>132</v>
      </c>
      <c r="F128" t="s">
        <v>142</v>
      </c>
      <c r="G128">
        <v>65</v>
      </c>
      <c r="H128">
        <v>65</v>
      </c>
      <c r="I128" s="16">
        <v>0.39307870370370368</v>
      </c>
      <c r="J128">
        <v>1210029410</v>
      </c>
      <c r="K128" t="s">
        <v>134</v>
      </c>
      <c r="L128">
        <v>207.05</v>
      </c>
      <c r="M128">
        <v>0</v>
      </c>
      <c r="N128" s="16">
        <v>0.39307870370370368</v>
      </c>
      <c r="O128" t="s">
        <v>135</v>
      </c>
      <c r="P128">
        <v>1000000007061670</v>
      </c>
      <c r="Q128" t="s">
        <v>130</v>
      </c>
      <c r="S128" t="s">
        <v>136</v>
      </c>
      <c r="T128" t="s">
        <v>145</v>
      </c>
      <c r="U128" t="s">
        <v>130</v>
      </c>
      <c r="V128" t="s">
        <v>138</v>
      </c>
      <c r="W128">
        <v>0</v>
      </c>
      <c r="X128" t="s">
        <v>139</v>
      </c>
      <c r="Y128">
        <v>210</v>
      </c>
      <c r="Z128">
        <v>13650</v>
      </c>
      <c r="AC128">
        <v>0</v>
      </c>
    </row>
    <row r="129" spans="1:29">
      <c r="A129" t="s">
        <v>130</v>
      </c>
      <c r="B129" t="s">
        <v>81</v>
      </c>
      <c r="C129" t="s">
        <v>149</v>
      </c>
      <c r="D129" t="s">
        <v>82</v>
      </c>
      <c r="E129" t="s">
        <v>132</v>
      </c>
      <c r="F129" t="s">
        <v>142</v>
      </c>
      <c r="G129">
        <v>65</v>
      </c>
      <c r="H129">
        <v>130</v>
      </c>
      <c r="I129" s="16">
        <v>0.38605324074074077</v>
      </c>
      <c r="J129">
        <v>1210041473</v>
      </c>
      <c r="K129" t="s">
        <v>134</v>
      </c>
      <c r="L129">
        <v>17.7</v>
      </c>
      <c r="M129">
        <v>0</v>
      </c>
      <c r="N129" s="16">
        <v>0.38605324074074077</v>
      </c>
      <c r="O129" t="s">
        <v>135</v>
      </c>
      <c r="P129">
        <v>1400000000736140</v>
      </c>
      <c r="Q129" t="s">
        <v>130</v>
      </c>
      <c r="S129" t="s">
        <v>136</v>
      </c>
      <c r="T129" t="s">
        <v>137</v>
      </c>
      <c r="U129" t="s">
        <v>130</v>
      </c>
      <c r="V129" t="s">
        <v>138</v>
      </c>
      <c r="W129">
        <v>0</v>
      </c>
      <c r="X129" t="s">
        <v>139</v>
      </c>
      <c r="Y129">
        <v>17.75</v>
      </c>
      <c r="Z129">
        <v>2307.5</v>
      </c>
      <c r="AC129">
        <v>0</v>
      </c>
    </row>
    <row r="130" spans="1:29">
      <c r="A130" t="s">
        <v>130</v>
      </c>
      <c r="B130" t="s">
        <v>81</v>
      </c>
      <c r="C130" t="s">
        <v>149</v>
      </c>
      <c r="D130" t="s">
        <v>82</v>
      </c>
      <c r="E130" t="s">
        <v>132</v>
      </c>
      <c r="F130" t="s">
        <v>142</v>
      </c>
      <c r="G130">
        <v>65</v>
      </c>
      <c r="H130">
        <v>130</v>
      </c>
      <c r="I130" s="16">
        <v>0.38605324074074077</v>
      </c>
      <c r="J130">
        <v>1210041473</v>
      </c>
      <c r="K130" t="s">
        <v>134</v>
      </c>
      <c r="L130">
        <v>17.7</v>
      </c>
      <c r="M130">
        <v>0</v>
      </c>
      <c r="N130" s="16">
        <v>0.38605324074074077</v>
      </c>
      <c r="O130" t="s">
        <v>140</v>
      </c>
      <c r="P130">
        <v>1400000000736140</v>
      </c>
      <c r="Q130" t="s">
        <v>130</v>
      </c>
      <c r="S130" t="s">
        <v>136</v>
      </c>
      <c r="T130" t="s">
        <v>137</v>
      </c>
      <c r="U130" t="s">
        <v>130</v>
      </c>
      <c r="V130" t="s">
        <v>138</v>
      </c>
      <c r="W130">
        <v>65</v>
      </c>
      <c r="X130" t="s">
        <v>139</v>
      </c>
      <c r="Y130">
        <v>17.75</v>
      </c>
      <c r="Z130">
        <v>1153.75</v>
      </c>
      <c r="AC130">
        <v>0</v>
      </c>
    </row>
    <row r="131" spans="1:29">
      <c r="A131" t="s">
        <v>130</v>
      </c>
      <c r="B131" t="s">
        <v>81</v>
      </c>
      <c r="C131" t="s">
        <v>143</v>
      </c>
      <c r="D131" t="s">
        <v>82</v>
      </c>
      <c r="E131" t="s">
        <v>132</v>
      </c>
      <c r="F131" t="s">
        <v>142</v>
      </c>
      <c r="G131">
        <v>130</v>
      </c>
      <c r="H131">
        <v>130</v>
      </c>
      <c r="I131" s="16">
        <v>0.38599537037037035</v>
      </c>
      <c r="J131">
        <v>1210041457</v>
      </c>
      <c r="K131" t="s">
        <v>134</v>
      </c>
      <c r="L131">
        <v>22.2</v>
      </c>
      <c r="M131">
        <v>0</v>
      </c>
      <c r="N131" s="16">
        <v>0.38599537037037035</v>
      </c>
      <c r="O131" t="s">
        <v>135</v>
      </c>
      <c r="P131">
        <v>1500000000673750</v>
      </c>
      <c r="Q131" t="s">
        <v>130</v>
      </c>
      <c r="S131" t="s">
        <v>136</v>
      </c>
      <c r="T131" t="s">
        <v>137</v>
      </c>
      <c r="U131" t="s">
        <v>130</v>
      </c>
      <c r="V131" t="s">
        <v>138</v>
      </c>
      <c r="W131">
        <v>0</v>
      </c>
      <c r="X131" t="s">
        <v>139</v>
      </c>
      <c r="Y131">
        <v>22.2</v>
      </c>
      <c r="Z131">
        <v>2886</v>
      </c>
      <c r="AC1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471E-566E-40C7-9B63-BF2F5BEC1565}">
  <dimension ref="A1:AC129"/>
  <sheetViews>
    <sheetView topLeftCell="B1" workbookViewId="0">
      <selection activeCell="AA2" sqref="AA2:AC2"/>
    </sheetView>
  </sheetViews>
  <sheetFormatPr defaultRowHeight="15"/>
  <cols>
    <col min="19" max="19" width="12.42578125" bestFit="1" customWidth="1"/>
  </cols>
  <sheetData>
    <row r="1" spans="1:29" ht="51">
      <c r="A1" t="s">
        <v>53</v>
      </c>
      <c r="B1" t="s">
        <v>54</v>
      </c>
      <c r="C1" t="s">
        <v>55</v>
      </c>
      <c r="D1" t="s">
        <v>56</v>
      </c>
      <c r="E1" t="s">
        <v>13</v>
      </c>
      <c r="F1" t="s">
        <v>78</v>
      </c>
      <c r="G1" t="s">
        <v>60</v>
      </c>
      <c r="H1" t="s">
        <v>62</v>
      </c>
      <c r="I1" t="s">
        <v>77</v>
      </c>
      <c r="J1" t="s">
        <v>57</v>
      </c>
      <c r="K1" t="s">
        <v>58</v>
      </c>
      <c r="L1" t="s">
        <v>14</v>
      </c>
      <c r="M1" t="s">
        <v>76</v>
      </c>
      <c r="N1" t="s">
        <v>61</v>
      </c>
      <c r="O1" t="s">
        <v>79</v>
      </c>
      <c r="P1" t="s">
        <v>165</v>
      </c>
      <c r="Q1" t="s">
        <v>166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9</v>
      </c>
      <c r="X1" s="8" t="s">
        <v>19</v>
      </c>
      <c r="Y1" s="8" t="s">
        <v>11</v>
      </c>
      <c r="Z1" s="8" t="s">
        <v>12</v>
      </c>
      <c r="AA1" s="8" t="s">
        <v>20</v>
      </c>
      <c r="AB1" s="8" t="s">
        <v>21</v>
      </c>
      <c r="AC1" s="8" t="s">
        <v>22</v>
      </c>
    </row>
    <row r="2" spans="1:29">
      <c r="A2" t="s">
        <v>39</v>
      </c>
      <c r="B2" s="15">
        <v>46259</v>
      </c>
      <c r="C2">
        <v>24400</v>
      </c>
      <c r="D2" t="s">
        <v>88</v>
      </c>
      <c r="E2">
        <v>520</v>
      </c>
      <c r="F2">
        <v>8</v>
      </c>
      <c r="G2">
        <v>175.99</v>
      </c>
      <c r="H2">
        <v>173.22</v>
      </c>
      <c r="I2">
        <v>-6</v>
      </c>
      <c r="J2">
        <v>9311.25</v>
      </c>
      <c r="K2">
        <v>145.65</v>
      </c>
      <c r="L2">
        <v>-390</v>
      </c>
      <c r="M2">
        <v>65</v>
      </c>
      <c r="N2">
        <v>910</v>
      </c>
      <c r="O2">
        <v>14</v>
      </c>
      <c r="R2" s="10">
        <f>L2*K2</f>
        <v>-56803.5</v>
      </c>
      <c r="S2" s="10">
        <f>SUM($G$31:G500)</f>
        <v>9750</v>
      </c>
      <c r="T2" s="2">
        <f>SUMIFS(INDEX($A$2:$AF$29,0,MATCH("NETQTY",$A$1:$AF$1,0)),INDEX($A$2:$AF$29,0,MATCH("OPTION TYPE",$A$1:$AF$1,0)),"PE",INDEX($A$2:$AF$29,0,MATCH("NETQTY",$A$1:$AF$1,0)),"&lt;0")</f>
        <v>-715</v>
      </c>
      <c r="U2" s="2">
        <f>SUMIFS(INDEX($A$2:$AF$29,0,MATCH("NETQTY",$A$1:$AF$1,0)),INDEX($A$2:$AF$29,0,MATCH("OPTION TYPE",$A$1:$AF$1,0)),"PE",INDEX($A$2:$AF$29,0,MATCH("NETQTY",$A$1:$AF$1,0)),"&gt;0")</f>
        <v>1040</v>
      </c>
      <c r="V2" s="2">
        <f>SUMIFS(INDEX($A$2:$AF$29,0,MATCH("NETQTY",$A$1:$AF$1,0)),INDEX($A$2:$AF$29,0,MATCH("OPTION TYPE",$A$1:$AF$1,0)),"CE",INDEX($A$2:$AF$29,0,MATCH("NETQTY",$A$1:$AF$1,0)),"&lt;0")</f>
        <v>-325</v>
      </c>
      <c r="W2" s="2">
        <f>SUMIFS(INDEX($A$2:$AF$29,0,MATCH("NETQTY",$A$1:$AF$1,0)),INDEX($A$2:$AF$29,0,MATCH("OPTION TYPE",$A$1:$AF$1,0)),"CE",INDEX($A$2:$AF$29,0,MATCH("NETQTY",$A$1:$AF$1,0)),"&gt;0")</f>
        <v>520</v>
      </c>
      <c r="X2" s="2">
        <f>T2+U2+V2+W2</f>
        <v>520</v>
      </c>
      <c r="Y2" s="5">
        <f>ABS(U2)/T2</f>
        <v>-1.4545454545454546</v>
      </c>
      <c r="Z2" s="5">
        <f>ABS(W2)/V2</f>
        <v>-1.6</v>
      </c>
      <c r="AA2" s="2" cm="1">
        <f t="array" ref="AA2">SUMPRODUCT((INDEX($A$2:$AF$29,0,MATCH("OPTION TYPE",$A$1:$AF$1,0))="PE")*(INDEX($A$2:$AF$29,0,MATCH("NETQTY",$A$1:$AF$1,0))*INDEX($A$2:$AF$29,0,MATCH("LastTradePrice",$A$1:$AF$1,0))&lt;0)*INDEX($A$2:$AF$29,0,MATCH("NETQTY",$A$1:$AF$1,0))*INDEX($A$2:$AF$29,0,MATCH("LastTradePrice",$A$1:$AF$1,0)))</f>
        <v>-100691.5</v>
      </c>
      <c r="AB2" s="2" cm="1">
        <f t="array" ref="AB2">SUMPRODUCT((INDEX($A$2:$AF$29,0,MATCH("OPTION TYPE",$A$1:$AF$1,0))="CE")*(INDEX($A$2:$AF$29,0,MATCH("NETQTY",$A$1:$AF$1,0))*INDEX($A$2:$AF$29,0,MATCH("LastTradePrice",$A$1:$AF$1,0))&lt;0)*INDEX($A$2:$AF$29,0,MATCH("NETQTY",$A$1:$AF$1,0))*INDEX($A$2:$AF$29,0,MATCH("LastTradePrice",$A$1:$AF$1,0)))</f>
        <v>-65607.75</v>
      </c>
      <c r="AC2" s="2">
        <f>ABS(AA2+AB2)</f>
        <v>166299.25</v>
      </c>
    </row>
    <row r="3" spans="1:29">
      <c r="A3" t="s">
        <v>39</v>
      </c>
      <c r="B3" s="15">
        <v>46259</v>
      </c>
      <c r="C3">
        <v>24300</v>
      </c>
      <c r="D3" t="s">
        <v>88</v>
      </c>
      <c r="E3">
        <v>0</v>
      </c>
      <c r="F3">
        <v>0</v>
      </c>
      <c r="G3">
        <v>0</v>
      </c>
      <c r="H3">
        <v>121.55</v>
      </c>
      <c r="I3">
        <v>-2</v>
      </c>
      <c r="J3">
        <v>1891.5</v>
      </c>
      <c r="K3">
        <v>107</v>
      </c>
      <c r="L3">
        <v>-130</v>
      </c>
      <c r="M3">
        <v>65</v>
      </c>
      <c r="N3">
        <v>130</v>
      </c>
      <c r="O3">
        <v>2</v>
      </c>
      <c r="R3" s="10">
        <f t="shared" ref="R3:R13" si="0">L3*K3</f>
        <v>-13910</v>
      </c>
    </row>
    <row r="4" spans="1:29">
      <c r="A4" t="s">
        <v>39</v>
      </c>
      <c r="B4" s="15">
        <v>46259</v>
      </c>
      <c r="C4">
        <v>24500</v>
      </c>
      <c r="D4" t="s">
        <v>83</v>
      </c>
      <c r="E4">
        <v>195</v>
      </c>
      <c r="F4">
        <v>3</v>
      </c>
      <c r="G4">
        <v>160.07</v>
      </c>
      <c r="H4">
        <v>166.94</v>
      </c>
      <c r="I4">
        <v>-1</v>
      </c>
      <c r="J4">
        <v>1859</v>
      </c>
      <c r="K4">
        <v>158.94999999999999</v>
      </c>
      <c r="L4">
        <v>-65</v>
      </c>
      <c r="M4">
        <v>65</v>
      </c>
      <c r="N4">
        <v>260</v>
      </c>
      <c r="O4">
        <v>4</v>
      </c>
      <c r="R4" s="10">
        <f t="shared" si="0"/>
        <v>-10331.75</v>
      </c>
    </row>
    <row r="5" spans="1:29">
      <c r="A5" t="s">
        <v>39</v>
      </c>
      <c r="B5" s="15">
        <v>46259</v>
      </c>
      <c r="C5">
        <v>24400</v>
      </c>
      <c r="D5" t="s">
        <v>83</v>
      </c>
      <c r="E5">
        <v>520</v>
      </c>
      <c r="F5">
        <v>8</v>
      </c>
      <c r="G5">
        <v>196.21</v>
      </c>
      <c r="H5">
        <v>202.98</v>
      </c>
      <c r="I5">
        <v>-4</v>
      </c>
      <c r="J5">
        <v>1020.5</v>
      </c>
      <c r="K5">
        <v>212.6</v>
      </c>
      <c r="L5">
        <v>-260</v>
      </c>
      <c r="M5">
        <v>65</v>
      </c>
      <c r="N5">
        <v>780</v>
      </c>
      <c r="O5">
        <v>12</v>
      </c>
      <c r="R5" s="10">
        <f t="shared" si="0"/>
        <v>-55276</v>
      </c>
    </row>
    <row r="6" spans="1:29">
      <c r="A6" t="s">
        <v>39</v>
      </c>
      <c r="B6" s="15">
        <v>46252</v>
      </c>
      <c r="C6">
        <v>24700</v>
      </c>
      <c r="D6" t="s">
        <v>83</v>
      </c>
      <c r="E6">
        <v>715</v>
      </c>
      <c r="F6">
        <v>11</v>
      </c>
      <c r="G6">
        <v>19.87</v>
      </c>
      <c r="H6">
        <v>28.15</v>
      </c>
      <c r="I6">
        <v>8</v>
      </c>
      <c r="J6">
        <v>1784.25</v>
      </c>
      <c r="K6">
        <v>20.2</v>
      </c>
      <c r="L6">
        <v>520</v>
      </c>
      <c r="M6">
        <v>65</v>
      </c>
      <c r="N6">
        <v>195</v>
      </c>
      <c r="O6">
        <v>3</v>
      </c>
      <c r="R6" s="10">
        <f t="shared" si="0"/>
        <v>10504</v>
      </c>
    </row>
    <row r="7" spans="1:29">
      <c r="A7" t="s">
        <v>39</v>
      </c>
      <c r="B7" s="15">
        <v>46252</v>
      </c>
      <c r="C7">
        <v>24050</v>
      </c>
      <c r="D7" t="s">
        <v>88</v>
      </c>
      <c r="E7">
        <v>1690</v>
      </c>
      <c r="F7">
        <v>26</v>
      </c>
      <c r="G7">
        <v>19.22</v>
      </c>
      <c r="H7">
        <v>17.22</v>
      </c>
      <c r="I7">
        <v>0</v>
      </c>
      <c r="J7">
        <v>-3389.75</v>
      </c>
      <c r="K7">
        <v>9.85</v>
      </c>
      <c r="L7">
        <v>0</v>
      </c>
      <c r="M7">
        <v>65</v>
      </c>
      <c r="N7">
        <v>1690</v>
      </c>
      <c r="O7">
        <v>26</v>
      </c>
      <c r="R7" s="10">
        <f t="shared" si="0"/>
        <v>0</v>
      </c>
    </row>
    <row r="8" spans="1:29">
      <c r="A8" t="s">
        <v>39</v>
      </c>
      <c r="B8" s="15">
        <v>46252</v>
      </c>
      <c r="C8">
        <v>24750</v>
      </c>
      <c r="D8" t="s">
        <v>83</v>
      </c>
      <c r="E8">
        <v>585</v>
      </c>
      <c r="F8">
        <v>9</v>
      </c>
      <c r="G8">
        <v>22.16</v>
      </c>
      <c r="H8">
        <v>13.72</v>
      </c>
      <c r="I8">
        <v>0</v>
      </c>
      <c r="J8">
        <v>-4933.5</v>
      </c>
      <c r="K8">
        <v>13.85</v>
      </c>
      <c r="L8">
        <v>0</v>
      </c>
      <c r="M8">
        <v>65</v>
      </c>
      <c r="N8">
        <v>585</v>
      </c>
      <c r="O8">
        <v>9</v>
      </c>
      <c r="R8" s="10">
        <f t="shared" si="0"/>
        <v>0</v>
      </c>
    </row>
    <row r="9" spans="1:29">
      <c r="A9" t="s">
        <v>39</v>
      </c>
      <c r="B9" s="15">
        <v>46252</v>
      </c>
      <c r="C9">
        <v>24150</v>
      </c>
      <c r="D9" t="s">
        <v>88</v>
      </c>
      <c r="E9">
        <v>1040</v>
      </c>
      <c r="F9">
        <v>16</v>
      </c>
      <c r="G9">
        <v>20.63</v>
      </c>
      <c r="H9">
        <v>0</v>
      </c>
      <c r="I9">
        <v>16</v>
      </c>
      <c r="J9">
        <v>-2219.75</v>
      </c>
      <c r="K9">
        <v>18.5</v>
      </c>
      <c r="L9">
        <v>1040</v>
      </c>
      <c r="M9">
        <v>65</v>
      </c>
      <c r="N9">
        <v>0</v>
      </c>
      <c r="O9">
        <v>0</v>
      </c>
      <c r="R9" s="10">
        <f t="shared" si="0"/>
        <v>19240</v>
      </c>
    </row>
    <row r="10" spans="1:29">
      <c r="A10" t="s">
        <v>39</v>
      </c>
      <c r="B10" s="15">
        <v>46259</v>
      </c>
      <c r="C10">
        <v>24500</v>
      </c>
      <c r="D10" t="s">
        <v>88</v>
      </c>
      <c r="E10">
        <v>195</v>
      </c>
      <c r="F10">
        <v>3</v>
      </c>
      <c r="G10">
        <v>186.68</v>
      </c>
      <c r="H10">
        <v>195.13</v>
      </c>
      <c r="I10">
        <v>-1</v>
      </c>
      <c r="J10">
        <v>1855.75</v>
      </c>
      <c r="K10">
        <v>191.9</v>
      </c>
      <c r="L10">
        <v>-65</v>
      </c>
      <c r="M10">
        <v>65</v>
      </c>
      <c r="N10">
        <v>260</v>
      </c>
      <c r="O10">
        <v>4</v>
      </c>
      <c r="R10" s="10">
        <f t="shared" si="0"/>
        <v>-12473.5</v>
      </c>
    </row>
    <row r="11" spans="1:29">
      <c r="A11" t="s">
        <v>39</v>
      </c>
      <c r="B11" s="15">
        <v>46259</v>
      </c>
      <c r="C11">
        <v>24450</v>
      </c>
      <c r="D11" t="s">
        <v>88</v>
      </c>
      <c r="E11">
        <v>390</v>
      </c>
      <c r="F11">
        <v>6</v>
      </c>
      <c r="G11">
        <v>176.57</v>
      </c>
      <c r="H11">
        <v>162.69999999999999</v>
      </c>
      <c r="I11">
        <v>0</v>
      </c>
      <c r="J11">
        <v>-5408</v>
      </c>
      <c r="K11">
        <v>166.8</v>
      </c>
      <c r="L11">
        <v>0</v>
      </c>
      <c r="M11">
        <v>65</v>
      </c>
      <c r="N11">
        <v>390</v>
      </c>
      <c r="O11">
        <v>6</v>
      </c>
      <c r="R11" s="10">
        <f t="shared" si="0"/>
        <v>0</v>
      </c>
    </row>
    <row r="12" spans="1:29">
      <c r="A12" t="s">
        <v>39</v>
      </c>
      <c r="B12" s="15">
        <v>46252</v>
      </c>
      <c r="C12">
        <v>24500</v>
      </c>
      <c r="D12" t="s">
        <v>88</v>
      </c>
      <c r="E12">
        <v>0</v>
      </c>
      <c r="F12">
        <v>0</v>
      </c>
      <c r="G12">
        <v>0</v>
      </c>
      <c r="H12">
        <v>153.1</v>
      </c>
      <c r="I12">
        <v>-2</v>
      </c>
      <c r="J12">
        <v>2398.5</v>
      </c>
      <c r="K12">
        <v>134.65</v>
      </c>
      <c r="L12">
        <v>-130</v>
      </c>
      <c r="M12">
        <v>65</v>
      </c>
      <c r="N12">
        <v>130</v>
      </c>
      <c r="O12">
        <v>2</v>
      </c>
      <c r="R12" s="10">
        <f t="shared" si="0"/>
        <v>-17504.5</v>
      </c>
    </row>
    <row r="13" spans="1:29">
      <c r="A13" t="s">
        <v>39</v>
      </c>
      <c r="B13" s="15">
        <v>46259</v>
      </c>
      <c r="C13">
        <v>24450</v>
      </c>
      <c r="D13" t="s">
        <v>83</v>
      </c>
      <c r="E13">
        <v>390</v>
      </c>
      <c r="F13">
        <v>6</v>
      </c>
      <c r="G13">
        <v>192.83</v>
      </c>
      <c r="H13">
        <v>181.71</v>
      </c>
      <c r="I13">
        <v>0</v>
      </c>
      <c r="J13">
        <v>-4338.75</v>
      </c>
      <c r="K13">
        <v>184.3</v>
      </c>
      <c r="L13">
        <v>0</v>
      </c>
      <c r="M13">
        <v>65</v>
      </c>
      <c r="N13">
        <v>390</v>
      </c>
      <c r="O13">
        <v>6</v>
      </c>
      <c r="R13" s="10">
        <f t="shared" si="0"/>
        <v>0</v>
      </c>
    </row>
    <row r="14" spans="1:29">
      <c r="R14" s="10"/>
    </row>
    <row r="15" spans="1:29">
      <c r="R15" s="10"/>
    </row>
    <row r="16" spans="1:29">
      <c r="R16" s="10"/>
    </row>
    <row r="17" spans="1:25">
      <c r="R17" s="10"/>
    </row>
    <row r="30" spans="1:25">
      <c r="A30" t="s">
        <v>50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110</v>
      </c>
      <c r="J30" t="s">
        <v>111</v>
      </c>
      <c r="K30" t="s">
        <v>112</v>
      </c>
      <c r="L30" t="s">
        <v>114</v>
      </c>
      <c r="M30" t="s">
        <v>115</v>
      </c>
      <c r="N30" t="s">
        <v>116</v>
      </c>
      <c r="O30" t="s">
        <v>117</v>
      </c>
      <c r="P30" t="s">
        <v>118</v>
      </c>
      <c r="Q30" t="s">
        <v>119</v>
      </c>
      <c r="R30" t="s">
        <v>120</v>
      </c>
      <c r="S30" t="s">
        <v>122</v>
      </c>
      <c r="T30" t="s">
        <v>123</v>
      </c>
      <c r="U30" t="s">
        <v>124</v>
      </c>
      <c r="V30" t="s">
        <v>125</v>
      </c>
      <c r="W30" t="s">
        <v>126</v>
      </c>
      <c r="X30" t="s">
        <v>167</v>
      </c>
      <c r="Y30" t="s">
        <v>168</v>
      </c>
    </row>
    <row r="31" spans="1:25">
      <c r="A31" t="s">
        <v>130</v>
      </c>
      <c r="B31" t="s">
        <v>81</v>
      </c>
      <c r="C31" t="s">
        <v>152</v>
      </c>
      <c r="D31" t="s">
        <v>82</v>
      </c>
      <c r="E31" t="s">
        <v>132</v>
      </c>
      <c r="F31" t="s">
        <v>133</v>
      </c>
      <c r="G31">
        <v>130</v>
      </c>
      <c r="H31">
        <v>195</v>
      </c>
      <c r="I31">
        <v>1210442099</v>
      </c>
      <c r="J31" t="s">
        <v>134</v>
      </c>
      <c r="K31">
        <v>19.55</v>
      </c>
      <c r="L31" s="16">
        <v>0.64457175925925925</v>
      </c>
      <c r="M31" t="s">
        <v>135</v>
      </c>
      <c r="N31" s="17">
        <v>1400000000000000</v>
      </c>
      <c r="O31" t="s">
        <v>130</v>
      </c>
      <c r="Q31" t="s">
        <v>136</v>
      </c>
      <c r="R31" t="s">
        <v>137</v>
      </c>
      <c r="S31" t="s">
        <v>138</v>
      </c>
      <c r="T31">
        <v>0</v>
      </c>
      <c r="U31" t="s">
        <v>139</v>
      </c>
      <c r="V31">
        <v>19.45</v>
      </c>
      <c r="W31">
        <v>3792.75</v>
      </c>
      <c r="X31">
        <v>3812.25</v>
      </c>
    </row>
    <row r="32" spans="1:25">
      <c r="A32" t="s">
        <v>130</v>
      </c>
      <c r="B32" t="s">
        <v>81</v>
      </c>
      <c r="C32" t="s">
        <v>152</v>
      </c>
      <c r="D32" t="s">
        <v>82</v>
      </c>
      <c r="E32" t="s">
        <v>132</v>
      </c>
      <c r="F32" t="s">
        <v>133</v>
      </c>
      <c r="G32">
        <v>65</v>
      </c>
      <c r="H32">
        <v>195</v>
      </c>
      <c r="I32">
        <v>1210442099</v>
      </c>
      <c r="J32" t="s">
        <v>134</v>
      </c>
      <c r="K32">
        <v>19.55</v>
      </c>
      <c r="L32" s="16">
        <v>0.64457175925925925</v>
      </c>
      <c r="M32" t="s">
        <v>140</v>
      </c>
      <c r="N32" s="17">
        <v>1400000000000000</v>
      </c>
      <c r="O32" t="s">
        <v>130</v>
      </c>
      <c r="Q32" t="s">
        <v>136</v>
      </c>
      <c r="R32" t="s">
        <v>137</v>
      </c>
      <c r="S32" t="s">
        <v>138</v>
      </c>
      <c r="T32">
        <v>130</v>
      </c>
      <c r="U32" t="s">
        <v>139</v>
      </c>
      <c r="V32">
        <v>19.45</v>
      </c>
      <c r="W32">
        <v>1264.25</v>
      </c>
      <c r="X32">
        <v>3812.25</v>
      </c>
    </row>
    <row r="33" spans="1:25">
      <c r="A33" t="s">
        <v>130</v>
      </c>
      <c r="B33" t="s">
        <v>81</v>
      </c>
      <c r="C33" t="s">
        <v>169</v>
      </c>
      <c r="D33" t="s">
        <v>82</v>
      </c>
      <c r="E33" t="s">
        <v>132</v>
      </c>
      <c r="F33" t="s">
        <v>133</v>
      </c>
      <c r="G33">
        <v>130</v>
      </c>
      <c r="H33">
        <v>260</v>
      </c>
      <c r="I33">
        <v>1210441842</v>
      </c>
      <c r="J33" t="s">
        <v>134</v>
      </c>
      <c r="K33">
        <v>19.95</v>
      </c>
      <c r="L33" s="16">
        <v>0.6426736111111111</v>
      </c>
      <c r="M33" t="s">
        <v>135</v>
      </c>
      <c r="N33" s="17">
        <v>1000000000000000</v>
      </c>
      <c r="O33" t="s">
        <v>130</v>
      </c>
      <c r="Q33" t="s">
        <v>136</v>
      </c>
      <c r="R33" t="s">
        <v>137</v>
      </c>
      <c r="S33" t="s">
        <v>138</v>
      </c>
      <c r="T33">
        <v>0</v>
      </c>
      <c r="U33" t="s">
        <v>139</v>
      </c>
      <c r="V33">
        <v>19.95</v>
      </c>
      <c r="W33">
        <v>5187</v>
      </c>
      <c r="X33">
        <v>5187</v>
      </c>
    </row>
    <row r="34" spans="1:25">
      <c r="A34" t="s">
        <v>130</v>
      </c>
      <c r="B34" t="s">
        <v>81</v>
      </c>
      <c r="C34" t="s">
        <v>169</v>
      </c>
      <c r="D34" t="s">
        <v>82</v>
      </c>
      <c r="E34" t="s">
        <v>132</v>
      </c>
      <c r="F34" t="s">
        <v>133</v>
      </c>
      <c r="G34">
        <v>65</v>
      </c>
      <c r="H34">
        <v>260</v>
      </c>
      <c r="I34">
        <v>1210441842</v>
      </c>
      <c r="J34" t="s">
        <v>134</v>
      </c>
      <c r="K34">
        <v>19.95</v>
      </c>
      <c r="L34" s="16">
        <v>0.6426736111111111</v>
      </c>
      <c r="M34" t="s">
        <v>140</v>
      </c>
      <c r="N34" s="17">
        <v>1000000000000000</v>
      </c>
      <c r="O34" t="s">
        <v>130</v>
      </c>
      <c r="Q34" t="s">
        <v>136</v>
      </c>
      <c r="R34" t="s">
        <v>137</v>
      </c>
      <c r="S34" t="s">
        <v>138</v>
      </c>
      <c r="T34">
        <v>130</v>
      </c>
      <c r="U34" t="s">
        <v>139</v>
      </c>
      <c r="V34">
        <v>19.95</v>
      </c>
      <c r="W34">
        <v>2593.5</v>
      </c>
      <c r="X34">
        <v>5187</v>
      </c>
    </row>
    <row r="35" spans="1:25">
      <c r="A35" t="s">
        <v>130</v>
      </c>
      <c r="B35" t="s">
        <v>81</v>
      </c>
      <c r="C35" t="s">
        <v>169</v>
      </c>
      <c r="D35" t="s">
        <v>82</v>
      </c>
      <c r="E35" t="s">
        <v>132</v>
      </c>
      <c r="F35" t="s">
        <v>133</v>
      </c>
      <c r="G35">
        <v>65</v>
      </c>
      <c r="H35">
        <v>260</v>
      </c>
      <c r="I35">
        <v>1210441842</v>
      </c>
      <c r="J35" t="s">
        <v>134</v>
      </c>
      <c r="K35">
        <v>19.95</v>
      </c>
      <c r="L35" s="16">
        <v>0.6426736111111111</v>
      </c>
      <c r="M35" t="s">
        <v>140</v>
      </c>
      <c r="N35" s="17">
        <v>1000000000000000</v>
      </c>
      <c r="O35" t="s">
        <v>130</v>
      </c>
      <c r="Q35" t="s">
        <v>136</v>
      </c>
      <c r="R35" t="s">
        <v>137</v>
      </c>
      <c r="S35" t="s">
        <v>138</v>
      </c>
      <c r="T35">
        <v>195</v>
      </c>
      <c r="U35" t="s">
        <v>139</v>
      </c>
      <c r="V35">
        <v>19.95</v>
      </c>
      <c r="W35">
        <v>1296.75</v>
      </c>
      <c r="X35">
        <v>5187</v>
      </c>
    </row>
    <row r="36" spans="1:25">
      <c r="A36" t="s">
        <v>130</v>
      </c>
      <c r="B36" t="s">
        <v>81</v>
      </c>
      <c r="C36" t="s">
        <v>152</v>
      </c>
      <c r="D36" t="s">
        <v>82</v>
      </c>
      <c r="E36" t="s">
        <v>132</v>
      </c>
      <c r="F36" t="s">
        <v>133</v>
      </c>
      <c r="G36">
        <v>195</v>
      </c>
      <c r="H36">
        <v>325</v>
      </c>
      <c r="I36">
        <v>1210440763</v>
      </c>
      <c r="J36" t="s">
        <v>134</v>
      </c>
      <c r="K36">
        <v>18.850000000000001</v>
      </c>
      <c r="L36" s="16">
        <v>0.64195601851851847</v>
      </c>
      <c r="M36" t="s">
        <v>135</v>
      </c>
      <c r="N36" s="17">
        <v>1400000000000000</v>
      </c>
      <c r="O36" t="s">
        <v>130</v>
      </c>
      <c r="Q36" t="s">
        <v>136</v>
      </c>
      <c r="R36" t="s">
        <v>137</v>
      </c>
      <c r="S36" t="s">
        <v>138</v>
      </c>
      <c r="T36">
        <v>0</v>
      </c>
      <c r="U36" t="s">
        <v>139</v>
      </c>
      <c r="V36">
        <v>18.850000000000001</v>
      </c>
      <c r="W36">
        <v>6126.25</v>
      </c>
      <c r="X36">
        <v>6126.25</v>
      </c>
    </row>
    <row r="37" spans="1:25">
      <c r="A37" t="s">
        <v>130</v>
      </c>
      <c r="B37" t="s">
        <v>81</v>
      </c>
      <c r="C37" t="s">
        <v>152</v>
      </c>
      <c r="D37" t="s">
        <v>82</v>
      </c>
      <c r="E37" t="s">
        <v>132</v>
      </c>
      <c r="F37" t="s">
        <v>133</v>
      </c>
      <c r="G37">
        <v>65</v>
      </c>
      <c r="H37">
        <v>325</v>
      </c>
      <c r="I37">
        <v>1210440763</v>
      </c>
      <c r="J37" t="s">
        <v>134</v>
      </c>
      <c r="K37">
        <v>18.850000000000001</v>
      </c>
      <c r="L37" s="16">
        <v>0.64195601851851847</v>
      </c>
      <c r="M37" t="s">
        <v>140</v>
      </c>
      <c r="N37" s="17">
        <v>1400000000000000</v>
      </c>
      <c r="O37" t="s">
        <v>130</v>
      </c>
      <c r="Q37" t="s">
        <v>136</v>
      </c>
      <c r="R37" t="s">
        <v>137</v>
      </c>
      <c r="S37" t="s">
        <v>138</v>
      </c>
      <c r="T37">
        <v>195</v>
      </c>
      <c r="U37" t="s">
        <v>139</v>
      </c>
      <c r="V37">
        <v>18.850000000000001</v>
      </c>
      <c r="W37">
        <v>2450.5</v>
      </c>
      <c r="X37">
        <v>6126.25</v>
      </c>
    </row>
    <row r="38" spans="1:25">
      <c r="A38" t="s">
        <v>130</v>
      </c>
      <c r="B38" t="s">
        <v>81</v>
      </c>
      <c r="C38" t="s">
        <v>152</v>
      </c>
      <c r="D38" t="s">
        <v>82</v>
      </c>
      <c r="E38" t="s">
        <v>132</v>
      </c>
      <c r="F38" t="s">
        <v>133</v>
      </c>
      <c r="G38">
        <v>65</v>
      </c>
      <c r="H38">
        <v>325</v>
      </c>
      <c r="I38">
        <v>1210440763</v>
      </c>
      <c r="J38" t="s">
        <v>134</v>
      </c>
      <c r="K38">
        <v>18.850000000000001</v>
      </c>
      <c r="L38" s="16">
        <v>0.64195601851851847</v>
      </c>
      <c r="M38" t="s">
        <v>140</v>
      </c>
      <c r="N38" s="17">
        <v>1400000000000000</v>
      </c>
      <c r="O38" t="s">
        <v>130</v>
      </c>
      <c r="Q38" t="s">
        <v>136</v>
      </c>
      <c r="R38" t="s">
        <v>137</v>
      </c>
      <c r="S38" t="s">
        <v>138</v>
      </c>
      <c r="T38">
        <v>260</v>
      </c>
      <c r="U38" t="s">
        <v>139</v>
      </c>
      <c r="V38">
        <v>18.850000000000001</v>
      </c>
      <c r="W38">
        <v>1225.25</v>
      </c>
      <c r="X38">
        <v>6126.25</v>
      </c>
    </row>
    <row r="39" spans="1:25">
      <c r="A39" t="s">
        <v>130</v>
      </c>
      <c r="B39" t="s">
        <v>81</v>
      </c>
      <c r="C39" t="s">
        <v>158</v>
      </c>
      <c r="D39" t="s">
        <v>82</v>
      </c>
      <c r="E39" t="s">
        <v>132</v>
      </c>
      <c r="F39" t="s">
        <v>142</v>
      </c>
      <c r="G39">
        <v>65</v>
      </c>
      <c r="H39">
        <v>65</v>
      </c>
      <c r="I39">
        <v>1210049707</v>
      </c>
      <c r="J39" t="s">
        <v>134</v>
      </c>
      <c r="K39">
        <v>180.8</v>
      </c>
      <c r="L39" s="16">
        <v>0.63542824074074078</v>
      </c>
      <c r="M39" t="s">
        <v>135</v>
      </c>
      <c r="N39" s="17">
        <v>1600000000000000</v>
      </c>
      <c r="O39" t="s">
        <v>130</v>
      </c>
      <c r="Q39" t="s">
        <v>136</v>
      </c>
      <c r="R39" t="s">
        <v>145</v>
      </c>
      <c r="S39" t="s">
        <v>138</v>
      </c>
      <c r="T39">
        <v>0</v>
      </c>
      <c r="U39" t="s">
        <v>139</v>
      </c>
      <c r="V39">
        <v>185.15</v>
      </c>
      <c r="W39">
        <v>12034.75</v>
      </c>
      <c r="Y39">
        <v>11752</v>
      </c>
    </row>
    <row r="40" spans="1:25">
      <c r="A40" t="s">
        <v>130</v>
      </c>
      <c r="B40" t="s">
        <v>81</v>
      </c>
      <c r="C40" t="s">
        <v>158</v>
      </c>
      <c r="D40" t="s">
        <v>82</v>
      </c>
      <c r="E40" t="s">
        <v>132</v>
      </c>
      <c r="F40" t="s">
        <v>142</v>
      </c>
      <c r="G40">
        <v>130</v>
      </c>
      <c r="H40">
        <v>130</v>
      </c>
      <c r="I40">
        <v>1210049706</v>
      </c>
      <c r="J40" t="s">
        <v>134</v>
      </c>
      <c r="K40">
        <v>180.8</v>
      </c>
      <c r="L40" s="16">
        <v>0.63541666666666663</v>
      </c>
      <c r="M40" t="s">
        <v>135</v>
      </c>
      <c r="N40" s="17">
        <v>1600000000000000</v>
      </c>
      <c r="O40" t="s">
        <v>130</v>
      </c>
      <c r="Q40" t="s">
        <v>136</v>
      </c>
      <c r="R40" t="s">
        <v>145</v>
      </c>
      <c r="S40" t="s">
        <v>138</v>
      </c>
      <c r="T40">
        <v>0</v>
      </c>
      <c r="U40" t="s">
        <v>139</v>
      </c>
      <c r="V40">
        <v>185.15</v>
      </c>
      <c r="W40">
        <v>24069.5</v>
      </c>
      <c r="Y40">
        <v>23504</v>
      </c>
    </row>
    <row r="41" spans="1:25">
      <c r="A41" t="s">
        <v>130</v>
      </c>
      <c r="B41" t="s">
        <v>81</v>
      </c>
      <c r="C41" t="s">
        <v>157</v>
      </c>
      <c r="D41" t="s">
        <v>82</v>
      </c>
      <c r="E41" t="s">
        <v>132</v>
      </c>
      <c r="F41" t="s">
        <v>133</v>
      </c>
      <c r="G41">
        <v>65</v>
      </c>
      <c r="H41">
        <v>65</v>
      </c>
      <c r="I41">
        <v>1210049705</v>
      </c>
      <c r="J41" t="s">
        <v>134</v>
      </c>
      <c r="K41">
        <v>170.4</v>
      </c>
      <c r="L41" s="16">
        <v>0.63541666666666663</v>
      </c>
      <c r="M41" t="s">
        <v>135</v>
      </c>
      <c r="N41" s="17">
        <v>1600000000000000</v>
      </c>
      <c r="O41" t="s">
        <v>130</v>
      </c>
      <c r="Q41" t="s">
        <v>136</v>
      </c>
      <c r="R41" t="s">
        <v>145</v>
      </c>
      <c r="S41" t="s">
        <v>138</v>
      </c>
      <c r="T41">
        <v>0</v>
      </c>
      <c r="U41" t="s">
        <v>139</v>
      </c>
      <c r="V41">
        <v>167.25</v>
      </c>
      <c r="W41">
        <v>10871.25</v>
      </c>
      <c r="X41">
        <v>11076</v>
      </c>
    </row>
    <row r="42" spans="1:25">
      <c r="A42" t="s">
        <v>130</v>
      </c>
      <c r="B42" t="s">
        <v>81</v>
      </c>
      <c r="C42" t="s">
        <v>157</v>
      </c>
      <c r="D42" t="s">
        <v>82</v>
      </c>
      <c r="E42" t="s">
        <v>132</v>
      </c>
      <c r="F42" t="s">
        <v>133</v>
      </c>
      <c r="G42">
        <v>65</v>
      </c>
      <c r="H42">
        <v>130</v>
      </c>
      <c r="I42">
        <v>1210049704</v>
      </c>
      <c r="J42" t="s">
        <v>134</v>
      </c>
      <c r="K42">
        <v>170.4</v>
      </c>
      <c r="L42" s="16">
        <v>0.63541666666666663</v>
      </c>
      <c r="M42" t="s">
        <v>135</v>
      </c>
      <c r="N42" s="17">
        <v>1600000000000000</v>
      </c>
      <c r="O42" t="s">
        <v>130</v>
      </c>
      <c r="Q42" t="s">
        <v>136</v>
      </c>
      <c r="R42" t="s">
        <v>145</v>
      </c>
      <c r="S42" t="s">
        <v>138</v>
      </c>
      <c r="T42">
        <v>0</v>
      </c>
      <c r="U42" t="s">
        <v>139</v>
      </c>
      <c r="V42">
        <v>167.25</v>
      </c>
      <c r="W42">
        <v>21742.5</v>
      </c>
      <c r="X42">
        <v>22152</v>
      </c>
    </row>
    <row r="43" spans="1:25">
      <c r="A43" t="s">
        <v>130</v>
      </c>
      <c r="B43" t="s">
        <v>81</v>
      </c>
      <c r="C43" t="s">
        <v>157</v>
      </c>
      <c r="D43" t="s">
        <v>82</v>
      </c>
      <c r="E43" t="s">
        <v>132</v>
      </c>
      <c r="F43" t="s">
        <v>133</v>
      </c>
      <c r="G43">
        <v>65</v>
      </c>
      <c r="H43">
        <v>130</v>
      </c>
      <c r="I43">
        <v>1210049704</v>
      </c>
      <c r="J43" t="s">
        <v>134</v>
      </c>
      <c r="K43">
        <v>170.4</v>
      </c>
      <c r="L43" s="16">
        <v>0.63541666666666663</v>
      </c>
      <c r="M43" t="s">
        <v>140</v>
      </c>
      <c r="N43" s="17">
        <v>1600000000000000</v>
      </c>
      <c r="O43" t="s">
        <v>130</v>
      </c>
      <c r="Q43" t="s">
        <v>136</v>
      </c>
      <c r="R43" t="s">
        <v>145</v>
      </c>
      <c r="S43" t="s">
        <v>138</v>
      </c>
      <c r="T43">
        <v>65</v>
      </c>
      <c r="U43" t="s">
        <v>139</v>
      </c>
      <c r="V43">
        <v>167.25</v>
      </c>
      <c r="W43">
        <v>10871.25</v>
      </c>
      <c r="X43">
        <v>22152</v>
      </c>
    </row>
    <row r="44" spans="1:25">
      <c r="A44" t="s">
        <v>130</v>
      </c>
      <c r="B44" t="s">
        <v>81</v>
      </c>
      <c r="C44" t="s">
        <v>148</v>
      </c>
      <c r="D44" t="s">
        <v>82</v>
      </c>
      <c r="E44" t="s">
        <v>132</v>
      </c>
      <c r="F44" t="s">
        <v>142</v>
      </c>
      <c r="G44">
        <v>65</v>
      </c>
      <c r="H44">
        <v>130</v>
      </c>
      <c r="I44">
        <v>1210049691</v>
      </c>
      <c r="J44" t="s">
        <v>134</v>
      </c>
      <c r="K44">
        <v>190</v>
      </c>
      <c r="L44" s="16">
        <v>0.59381944444444446</v>
      </c>
      <c r="M44" t="s">
        <v>135</v>
      </c>
      <c r="N44" s="17">
        <v>1000000000000000</v>
      </c>
      <c r="O44" t="s">
        <v>130</v>
      </c>
      <c r="Q44" t="s">
        <v>136</v>
      </c>
      <c r="R44" t="s">
        <v>145</v>
      </c>
      <c r="S44" t="s">
        <v>138</v>
      </c>
      <c r="T44">
        <v>0</v>
      </c>
      <c r="U44" t="s">
        <v>139</v>
      </c>
      <c r="V44">
        <v>193.45</v>
      </c>
      <c r="W44">
        <v>25148.5</v>
      </c>
      <c r="Y44">
        <v>24700</v>
      </c>
    </row>
    <row r="45" spans="1:25">
      <c r="A45" t="s">
        <v>130</v>
      </c>
      <c r="B45" t="s">
        <v>81</v>
      </c>
      <c r="C45" t="s">
        <v>148</v>
      </c>
      <c r="D45" t="s">
        <v>82</v>
      </c>
      <c r="E45" t="s">
        <v>132</v>
      </c>
      <c r="F45" t="s">
        <v>142</v>
      </c>
      <c r="G45">
        <v>65</v>
      </c>
      <c r="H45">
        <v>130</v>
      </c>
      <c r="I45">
        <v>1210049691</v>
      </c>
      <c r="J45" t="s">
        <v>134</v>
      </c>
      <c r="K45">
        <v>190</v>
      </c>
      <c r="L45" s="16">
        <v>0.59381944444444446</v>
      </c>
      <c r="M45" t="s">
        <v>140</v>
      </c>
      <c r="N45" s="17">
        <v>1000000000000000</v>
      </c>
      <c r="O45" t="s">
        <v>130</v>
      </c>
      <c r="Q45" t="s">
        <v>136</v>
      </c>
      <c r="R45" t="s">
        <v>145</v>
      </c>
      <c r="S45" t="s">
        <v>138</v>
      </c>
      <c r="T45">
        <v>65</v>
      </c>
      <c r="U45" t="s">
        <v>139</v>
      </c>
      <c r="V45">
        <v>193.45</v>
      </c>
      <c r="W45">
        <v>12574.25</v>
      </c>
      <c r="Y45">
        <v>24700</v>
      </c>
    </row>
    <row r="46" spans="1:25">
      <c r="A46" t="s">
        <v>130</v>
      </c>
      <c r="B46" t="s">
        <v>81</v>
      </c>
      <c r="C46" t="s">
        <v>147</v>
      </c>
      <c r="D46" t="s">
        <v>82</v>
      </c>
      <c r="E46" t="s">
        <v>132</v>
      </c>
      <c r="F46" t="s">
        <v>133</v>
      </c>
      <c r="G46">
        <v>130</v>
      </c>
      <c r="H46">
        <v>130</v>
      </c>
      <c r="I46">
        <v>1210049690</v>
      </c>
      <c r="J46" t="s">
        <v>134</v>
      </c>
      <c r="K46">
        <v>159.65</v>
      </c>
      <c r="L46" s="16">
        <v>0.59379629629629627</v>
      </c>
      <c r="M46" t="s">
        <v>135</v>
      </c>
      <c r="N46" s="17">
        <v>1000000000000000</v>
      </c>
      <c r="O46" t="s">
        <v>130</v>
      </c>
      <c r="Q46" t="s">
        <v>136</v>
      </c>
      <c r="R46" t="s">
        <v>145</v>
      </c>
      <c r="S46" t="s">
        <v>138</v>
      </c>
      <c r="T46">
        <v>0</v>
      </c>
      <c r="U46" t="s">
        <v>139</v>
      </c>
      <c r="V46">
        <v>156.1</v>
      </c>
      <c r="W46">
        <v>20293</v>
      </c>
      <c r="X46">
        <v>20754.5</v>
      </c>
    </row>
    <row r="47" spans="1:25">
      <c r="A47" t="s">
        <v>130</v>
      </c>
      <c r="B47" t="s">
        <v>81</v>
      </c>
      <c r="C47" t="s">
        <v>157</v>
      </c>
      <c r="D47" t="s">
        <v>82</v>
      </c>
      <c r="E47" t="s">
        <v>132</v>
      </c>
      <c r="F47" t="s">
        <v>142</v>
      </c>
      <c r="G47">
        <v>130</v>
      </c>
      <c r="H47">
        <v>130</v>
      </c>
      <c r="I47">
        <v>1210049689</v>
      </c>
      <c r="J47" t="s">
        <v>134</v>
      </c>
      <c r="K47">
        <v>164.75</v>
      </c>
      <c r="L47" s="16">
        <v>0.59379629629629627</v>
      </c>
      <c r="M47" t="s">
        <v>135</v>
      </c>
      <c r="N47" s="17">
        <v>1600000000000000</v>
      </c>
      <c r="O47" t="s">
        <v>130</v>
      </c>
      <c r="Q47" t="s">
        <v>136</v>
      </c>
      <c r="R47" t="s">
        <v>145</v>
      </c>
      <c r="S47" t="s">
        <v>138</v>
      </c>
      <c r="T47">
        <v>0</v>
      </c>
      <c r="U47" t="s">
        <v>139</v>
      </c>
      <c r="V47">
        <v>168.8</v>
      </c>
      <c r="W47">
        <v>21944</v>
      </c>
      <c r="Y47">
        <v>21417.5</v>
      </c>
    </row>
    <row r="48" spans="1:25">
      <c r="A48" t="s">
        <v>130</v>
      </c>
      <c r="B48" t="s">
        <v>81</v>
      </c>
      <c r="C48" t="s">
        <v>158</v>
      </c>
      <c r="D48" t="s">
        <v>82</v>
      </c>
      <c r="E48" t="s">
        <v>132</v>
      </c>
      <c r="F48" t="s">
        <v>133</v>
      </c>
      <c r="G48">
        <v>65</v>
      </c>
      <c r="H48">
        <v>130</v>
      </c>
      <c r="I48">
        <v>1210049688</v>
      </c>
      <c r="J48" t="s">
        <v>134</v>
      </c>
      <c r="K48">
        <v>187</v>
      </c>
      <c r="L48" s="16">
        <v>0.59379629629629627</v>
      </c>
      <c r="M48" t="s">
        <v>135</v>
      </c>
      <c r="N48" s="17">
        <v>1600000000000000</v>
      </c>
      <c r="O48" t="s">
        <v>130</v>
      </c>
      <c r="Q48" t="s">
        <v>136</v>
      </c>
      <c r="R48" t="s">
        <v>145</v>
      </c>
      <c r="S48" t="s">
        <v>138</v>
      </c>
      <c r="T48">
        <v>0</v>
      </c>
      <c r="U48" t="s">
        <v>139</v>
      </c>
      <c r="V48">
        <v>182.28</v>
      </c>
      <c r="W48">
        <v>23695.75</v>
      </c>
      <c r="X48">
        <v>24310</v>
      </c>
    </row>
    <row r="49" spans="1:25">
      <c r="A49" t="s">
        <v>130</v>
      </c>
      <c r="B49" t="s">
        <v>81</v>
      </c>
      <c r="C49" t="s">
        <v>158</v>
      </c>
      <c r="D49" t="s">
        <v>82</v>
      </c>
      <c r="E49" t="s">
        <v>132</v>
      </c>
      <c r="F49" t="s">
        <v>133</v>
      </c>
      <c r="G49">
        <v>65</v>
      </c>
      <c r="H49">
        <v>130</v>
      </c>
      <c r="I49">
        <v>1210049688</v>
      </c>
      <c r="J49" t="s">
        <v>134</v>
      </c>
      <c r="K49">
        <v>187</v>
      </c>
      <c r="L49" s="16">
        <v>0.59379629629629627</v>
      </c>
      <c r="M49" t="s">
        <v>140</v>
      </c>
      <c r="N49" s="17">
        <v>1600000000000000</v>
      </c>
      <c r="O49" t="s">
        <v>130</v>
      </c>
      <c r="Q49" t="s">
        <v>136</v>
      </c>
      <c r="R49" t="s">
        <v>145</v>
      </c>
      <c r="S49" t="s">
        <v>138</v>
      </c>
      <c r="T49">
        <v>65</v>
      </c>
      <c r="U49" t="s">
        <v>139</v>
      </c>
      <c r="V49">
        <v>182.25</v>
      </c>
      <c r="W49">
        <v>11846.25</v>
      </c>
      <c r="X49">
        <v>24310</v>
      </c>
    </row>
    <row r="50" spans="1:25">
      <c r="A50" t="s">
        <v>130</v>
      </c>
      <c r="B50" t="s">
        <v>81</v>
      </c>
      <c r="C50" t="s">
        <v>157</v>
      </c>
      <c r="D50" t="s">
        <v>82</v>
      </c>
      <c r="E50" t="s">
        <v>132</v>
      </c>
      <c r="F50" t="s">
        <v>142</v>
      </c>
      <c r="G50">
        <v>65</v>
      </c>
      <c r="H50">
        <v>65</v>
      </c>
      <c r="I50">
        <v>1210049687</v>
      </c>
      <c r="J50" t="s">
        <v>134</v>
      </c>
      <c r="K50">
        <v>159.75</v>
      </c>
      <c r="L50" s="16">
        <v>0.58892361111111113</v>
      </c>
      <c r="M50" t="s">
        <v>135</v>
      </c>
      <c r="N50" s="17">
        <v>1600000000000000</v>
      </c>
      <c r="O50" t="s">
        <v>130</v>
      </c>
      <c r="Q50" t="s">
        <v>136</v>
      </c>
      <c r="R50" t="s">
        <v>145</v>
      </c>
      <c r="S50" t="s">
        <v>138</v>
      </c>
      <c r="T50">
        <v>0</v>
      </c>
      <c r="U50" t="s">
        <v>139</v>
      </c>
      <c r="V50">
        <v>162.80000000000001</v>
      </c>
      <c r="W50">
        <v>10582</v>
      </c>
      <c r="Y50">
        <v>10383.75</v>
      </c>
    </row>
    <row r="51" spans="1:25">
      <c r="A51" t="s">
        <v>130</v>
      </c>
      <c r="B51" t="s">
        <v>81</v>
      </c>
      <c r="C51" t="s">
        <v>157</v>
      </c>
      <c r="D51" t="s">
        <v>82</v>
      </c>
      <c r="E51" t="s">
        <v>132</v>
      </c>
      <c r="F51" t="s">
        <v>142</v>
      </c>
      <c r="G51">
        <v>65</v>
      </c>
      <c r="H51">
        <v>65</v>
      </c>
      <c r="I51">
        <v>1210049686</v>
      </c>
      <c r="J51" t="s">
        <v>134</v>
      </c>
      <c r="K51">
        <v>159.35</v>
      </c>
      <c r="L51" s="16">
        <v>0.58891203703703698</v>
      </c>
      <c r="M51" t="s">
        <v>135</v>
      </c>
      <c r="N51" s="17">
        <v>1600000000000000</v>
      </c>
      <c r="O51" t="s">
        <v>130</v>
      </c>
      <c r="Q51" t="s">
        <v>136</v>
      </c>
      <c r="R51" t="s">
        <v>145</v>
      </c>
      <c r="S51" t="s">
        <v>138</v>
      </c>
      <c r="T51">
        <v>0</v>
      </c>
      <c r="U51" t="s">
        <v>139</v>
      </c>
      <c r="V51">
        <v>162.85</v>
      </c>
      <c r="W51">
        <v>10585.25</v>
      </c>
      <c r="Y51">
        <v>10357.75</v>
      </c>
    </row>
    <row r="52" spans="1:25">
      <c r="A52" t="s">
        <v>130</v>
      </c>
      <c r="B52" t="s">
        <v>81</v>
      </c>
      <c r="C52" t="s">
        <v>158</v>
      </c>
      <c r="D52" t="s">
        <v>82</v>
      </c>
      <c r="E52" t="s">
        <v>132</v>
      </c>
      <c r="F52" t="s">
        <v>133</v>
      </c>
      <c r="G52">
        <v>65</v>
      </c>
      <c r="H52">
        <v>65</v>
      </c>
      <c r="I52">
        <v>1210049685</v>
      </c>
      <c r="J52" t="s">
        <v>134</v>
      </c>
      <c r="K52">
        <v>191.05</v>
      </c>
      <c r="L52" s="16">
        <v>0.58891203703703698</v>
      </c>
      <c r="M52" t="s">
        <v>135</v>
      </c>
      <c r="N52" s="17">
        <v>1600000000000000</v>
      </c>
      <c r="O52" t="s">
        <v>130</v>
      </c>
      <c r="Q52" t="s">
        <v>136</v>
      </c>
      <c r="R52" t="s">
        <v>145</v>
      </c>
      <c r="S52" t="s">
        <v>138</v>
      </c>
      <c r="T52">
        <v>0</v>
      </c>
      <c r="U52" t="s">
        <v>139</v>
      </c>
      <c r="V52">
        <v>187.1</v>
      </c>
      <c r="W52">
        <v>12161.5</v>
      </c>
      <c r="X52">
        <v>12418.25</v>
      </c>
    </row>
    <row r="53" spans="1:25">
      <c r="A53" t="s">
        <v>130</v>
      </c>
      <c r="B53" t="s">
        <v>81</v>
      </c>
      <c r="C53" t="s">
        <v>158</v>
      </c>
      <c r="D53" t="s">
        <v>82</v>
      </c>
      <c r="E53" t="s">
        <v>132</v>
      </c>
      <c r="F53" t="s">
        <v>133</v>
      </c>
      <c r="G53">
        <v>65</v>
      </c>
      <c r="H53">
        <v>65</v>
      </c>
      <c r="I53">
        <v>1210049684</v>
      </c>
      <c r="J53" t="s">
        <v>134</v>
      </c>
      <c r="K53">
        <v>191.05</v>
      </c>
      <c r="L53" s="16">
        <v>0.58890046296296295</v>
      </c>
      <c r="M53" t="s">
        <v>135</v>
      </c>
      <c r="N53" s="17">
        <v>1600000000000000</v>
      </c>
      <c r="O53" t="s">
        <v>130</v>
      </c>
      <c r="Q53" t="s">
        <v>136</v>
      </c>
      <c r="R53" t="s">
        <v>145</v>
      </c>
      <c r="S53" t="s">
        <v>138</v>
      </c>
      <c r="T53">
        <v>0</v>
      </c>
      <c r="U53" t="s">
        <v>139</v>
      </c>
      <c r="V53">
        <v>187.75</v>
      </c>
      <c r="W53">
        <v>12203.75</v>
      </c>
      <c r="X53">
        <v>12418.25</v>
      </c>
    </row>
    <row r="54" spans="1:25">
      <c r="A54" t="s">
        <v>130</v>
      </c>
      <c r="B54" t="s">
        <v>81</v>
      </c>
      <c r="C54" t="s">
        <v>147</v>
      </c>
      <c r="D54" t="s">
        <v>82</v>
      </c>
      <c r="E54" t="s">
        <v>132</v>
      </c>
      <c r="F54" t="s">
        <v>142</v>
      </c>
      <c r="G54">
        <v>65</v>
      </c>
      <c r="H54">
        <v>130</v>
      </c>
      <c r="I54">
        <v>1210049683</v>
      </c>
      <c r="J54" t="s">
        <v>134</v>
      </c>
      <c r="K54">
        <v>161.25</v>
      </c>
      <c r="L54" s="16">
        <v>0.57650462962962967</v>
      </c>
      <c r="M54" t="s">
        <v>135</v>
      </c>
      <c r="N54" s="17">
        <v>1000000000000000</v>
      </c>
      <c r="O54" t="s">
        <v>130</v>
      </c>
      <c r="Q54" t="s">
        <v>136</v>
      </c>
      <c r="R54" t="s">
        <v>145</v>
      </c>
      <c r="S54" t="s">
        <v>138</v>
      </c>
      <c r="T54">
        <v>0</v>
      </c>
      <c r="U54" t="s">
        <v>139</v>
      </c>
      <c r="V54">
        <v>164.3</v>
      </c>
      <c r="W54">
        <v>21359</v>
      </c>
      <c r="Y54">
        <v>20962.5</v>
      </c>
    </row>
    <row r="55" spans="1:25">
      <c r="A55" t="s">
        <v>130</v>
      </c>
      <c r="B55" t="s">
        <v>81</v>
      </c>
      <c r="C55" t="s">
        <v>147</v>
      </c>
      <c r="D55" t="s">
        <v>82</v>
      </c>
      <c r="E55" t="s">
        <v>132</v>
      </c>
      <c r="F55" t="s">
        <v>142</v>
      </c>
      <c r="G55">
        <v>65</v>
      </c>
      <c r="H55">
        <v>130</v>
      </c>
      <c r="I55">
        <v>1210049683</v>
      </c>
      <c r="J55" t="s">
        <v>134</v>
      </c>
      <c r="K55">
        <v>161.25</v>
      </c>
      <c r="L55" s="16">
        <v>0.57650462962962967</v>
      </c>
      <c r="M55" t="s">
        <v>140</v>
      </c>
      <c r="N55" s="17">
        <v>1000000000000000</v>
      </c>
      <c r="O55" t="s">
        <v>130</v>
      </c>
      <c r="Q55" t="s">
        <v>136</v>
      </c>
      <c r="R55" t="s">
        <v>145</v>
      </c>
      <c r="S55" t="s">
        <v>138</v>
      </c>
      <c r="T55">
        <v>65</v>
      </c>
      <c r="U55" t="s">
        <v>139</v>
      </c>
      <c r="V55">
        <v>164.3</v>
      </c>
      <c r="W55">
        <v>10679.5</v>
      </c>
      <c r="Y55">
        <v>20962.5</v>
      </c>
    </row>
    <row r="56" spans="1:25">
      <c r="A56" t="s">
        <v>130</v>
      </c>
      <c r="B56" t="s">
        <v>81</v>
      </c>
      <c r="C56" t="s">
        <v>148</v>
      </c>
      <c r="D56" t="s">
        <v>82</v>
      </c>
      <c r="E56" t="s">
        <v>132</v>
      </c>
      <c r="F56" t="s">
        <v>133</v>
      </c>
      <c r="G56">
        <v>65</v>
      </c>
      <c r="H56">
        <v>130</v>
      </c>
      <c r="I56">
        <v>1210049682</v>
      </c>
      <c r="J56" t="s">
        <v>134</v>
      </c>
      <c r="K56">
        <v>188.95</v>
      </c>
      <c r="L56" s="16">
        <v>0.57650462962962967</v>
      </c>
      <c r="M56" t="s">
        <v>135</v>
      </c>
      <c r="N56" s="17">
        <v>1000000000000000</v>
      </c>
      <c r="O56" t="s">
        <v>130</v>
      </c>
      <c r="Q56" t="s">
        <v>136</v>
      </c>
      <c r="R56" t="s">
        <v>145</v>
      </c>
      <c r="S56" t="s">
        <v>138</v>
      </c>
      <c r="T56">
        <v>0</v>
      </c>
      <c r="U56" t="s">
        <v>139</v>
      </c>
      <c r="V56">
        <v>185.9</v>
      </c>
      <c r="W56">
        <v>24167</v>
      </c>
      <c r="X56">
        <v>24563.5</v>
      </c>
    </row>
    <row r="57" spans="1:25">
      <c r="A57" t="s">
        <v>130</v>
      </c>
      <c r="B57" t="s">
        <v>81</v>
      </c>
      <c r="C57" t="s">
        <v>148</v>
      </c>
      <c r="D57" t="s">
        <v>82</v>
      </c>
      <c r="E57" t="s">
        <v>132</v>
      </c>
      <c r="F57" t="s">
        <v>133</v>
      </c>
      <c r="G57">
        <v>65</v>
      </c>
      <c r="H57">
        <v>130</v>
      </c>
      <c r="I57">
        <v>1210049682</v>
      </c>
      <c r="J57" t="s">
        <v>134</v>
      </c>
      <c r="K57">
        <v>188.95</v>
      </c>
      <c r="L57" s="16">
        <v>0.57650462962962967</v>
      </c>
      <c r="M57" t="s">
        <v>140</v>
      </c>
      <c r="N57" s="17">
        <v>1000000000000000</v>
      </c>
      <c r="O57" t="s">
        <v>130</v>
      </c>
      <c r="Q57" t="s">
        <v>136</v>
      </c>
      <c r="R57" t="s">
        <v>145</v>
      </c>
      <c r="S57" t="s">
        <v>138</v>
      </c>
      <c r="T57">
        <v>65</v>
      </c>
      <c r="U57" t="s">
        <v>139</v>
      </c>
      <c r="V57">
        <v>185.9</v>
      </c>
      <c r="W57">
        <v>12083.5</v>
      </c>
      <c r="X57">
        <v>24563.5</v>
      </c>
    </row>
    <row r="58" spans="1:25">
      <c r="A58" t="s">
        <v>130</v>
      </c>
      <c r="B58" t="s">
        <v>81</v>
      </c>
      <c r="C58" t="s">
        <v>147</v>
      </c>
      <c r="D58" t="s">
        <v>82</v>
      </c>
      <c r="E58" t="s">
        <v>132</v>
      </c>
      <c r="F58" t="s">
        <v>142</v>
      </c>
      <c r="G58">
        <v>65</v>
      </c>
      <c r="H58">
        <v>65</v>
      </c>
      <c r="I58">
        <v>1210049675</v>
      </c>
      <c r="J58" t="s">
        <v>134</v>
      </c>
      <c r="K58">
        <v>158.75</v>
      </c>
      <c r="L58" s="16">
        <v>0.57089120370370372</v>
      </c>
      <c r="M58" t="s">
        <v>135</v>
      </c>
      <c r="N58" s="17">
        <v>1000000000000000</v>
      </c>
      <c r="O58" t="s">
        <v>130</v>
      </c>
      <c r="Q58" t="s">
        <v>136</v>
      </c>
      <c r="R58" t="s">
        <v>145</v>
      </c>
      <c r="S58" t="s">
        <v>138</v>
      </c>
      <c r="T58">
        <v>0</v>
      </c>
      <c r="U58" t="s">
        <v>139</v>
      </c>
      <c r="V58">
        <v>161.85</v>
      </c>
      <c r="W58">
        <v>10520.25</v>
      </c>
      <c r="Y58">
        <v>10318.75</v>
      </c>
    </row>
    <row r="59" spans="1:25">
      <c r="A59" t="s">
        <v>130</v>
      </c>
      <c r="B59" t="s">
        <v>81</v>
      </c>
      <c r="C59" t="s">
        <v>158</v>
      </c>
      <c r="D59" t="s">
        <v>82</v>
      </c>
      <c r="E59" t="s">
        <v>132</v>
      </c>
      <c r="F59" t="s">
        <v>142</v>
      </c>
      <c r="G59">
        <v>65</v>
      </c>
      <c r="H59">
        <v>65</v>
      </c>
      <c r="I59">
        <v>1210049674</v>
      </c>
      <c r="J59" t="s">
        <v>134</v>
      </c>
      <c r="K59">
        <v>184.15</v>
      </c>
      <c r="L59" s="16">
        <v>0.57089120370370372</v>
      </c>
      <c r="M59" t="s">
        <v>135</v>
      </c>
      <c r="N59" s="17">
        <v>1600000000000000</v>
      </c>
      <c r="O59" t="s">
        <v>130</v>
      </c>
      <c r="Q59" t="s">
        <v>136</v>
      </c>
      <c r="R59" t="s">
        <v>145</v>
      </c>
      <c r="S59" t="s">
        <v>138</v>
      </c>
      <c r="T59">
        <v>0</v>
      </c>
      <c r="U59" t="s">
        <v>139</v>
      </c>
      <c r="V59">
        <v>187.9</v>
      </c>
      <c r="W59">
        <v>12213.5</v>
      </c>
      <c r="Y59">
        <v>11969.75</v>
      </c>
    </row>
    <row r="60" spans="1:25">
      <c r="A60" t="s">
        <v>130</v>
      </c>
      <c r="B60" t="s">
        <v>81</v>
      </c>
      <c r="C60" t="s">
        <v>157</v>
      </c>
      <c r="D60" t="s">
        <v>82</v>
      </c>
      <c r="E60" t="s">
        <v>132</v>
      </c>
      <c r="F60" t="s">
        <v>133</v>
      </c>
      <c r="G60">
        <v>65</v>
      </c>
      <c r="H60">
        <v>65</v>
      </c>
      <c r="I60">
        <v>1210049673</v>
      </c>
      <c r="J60" t="s">
        <v>134</v>
      </c>
      <c r="K60">
        <v>167.4</v>
      </c>
      <c r="L60" s="16">
        <v>0.57089120370370372</v>
      </c>
      <c r="M60" t="s">
        <v>135</v>
      </c>
      <c r="N60" s="17">
        <v>1600000000000000</v>
      </c>
      <c r="O60" t="s">
        <v>130</v>
      </c>
      <c r="Q60" t="s">
        <v>136</v>
      </c>
      <c r="R60" t="s">
        <v>145</v>
      </c>
      <c r="S60" t="s">
        <v>138</v>
      </c>
      <c r="T60">
        <v>0</v>
      </c>
      <c r="U60" t="s">
        <v>139</v>
      </c>
      <c r="V60">
        <v>164.05</v>
      </c>
      <c r="W60">
        <v>10663.25</v>
      </c>
      <c r="X60">
        <v>10881</v>
      </c>
    </row>
    <row r="61" spans="1:25">
      <c r="A61" t="s">
        <v>130</v>
      </c>
      <c r="B61" t="s">
        <v>81</v>
      </c>
      <c r="C61" t="s">
        <v>148</v>
      </c>
      <c r="D61" t="s">
        <v>82</v>
      </c>
      <c r="E61" t="s">
        <v>132</v>
      </c>
      <c r="F61" t="s">
        <v>133</v>
      </c>
      <c r="G61">
        <v>65</v>
      </c>
      <c r="H61">
        <v>65</v>
      </c>
      <c r="I61">
        <v>1210049672</v>
      </c>
      <c r="J61" t="s">
        <v>134</v>
      </c>
      <c r="K61">
        <v>192.25</v>
      </c>
      <c r="L61" s="16">
        <v>0.57087962962962968</v>
      </c>
      <c r="M61" t="s">
        <v>135</v>
      </c>
      <c r="N61" s="17">
        <v>1000000000000000</v>
      </c>
      <c r="O61" t="s">
        <v>130</v>
      </c>
      <c r="Q61" t="s">
        <v>136</v>
      </c>
      <c r="R61" t="s">
        <v>145</v>
      </c>
      <c r="S61" t="s">
        <v>138</v>
      </c>
      <c r="T61">
        <v>0</v>
      </c>
      <c r="U61" t="s">
        <v>139</v>
      </c>
      <c r="V61">
        <v>188.25</v>
      </c>
      <c r="W61">
        <v>12236.25</v>
      </c>
      <c r="X61">
        <v>12496.25</v>
      </c>
    </row>
    <row r="62" spans="1:25">
      <c r="A62" t="s">
        <v>130</v>
      </c>
      <c r="B62" t="s">
        <v>81</v>
      </c>
      <c r="C62" t="s">
        <v>163</v>
      </c>
      <c r="D62" t="s">
        <v>82</v>
      </c>
      <c r="E62" t="s">
        <v>132</v>
      </c>
      <c r="F62" t="s">
        <v>142</v>
      </c>
      <c r="G62">
        <v>260</v>
      </c>
      <c r="H62">
        <v>325</v>
      </c>
      <c r="I62">
        <v>1210247364</v>
      </c>
      <c r="J62" t="s">
        <v>134</v>
      </c>
      <c r="K62">
        <v>12.6</v>
      </c>
      <c r="L62" s="16">
        <v>0.55940972222222218</v>
      </c>
      <c r="M62" t="s">
        <v>135</v>
      </c>
      <c r="N62" s="17">
        <v>1500000000000000</v>
      </c>
      <c r="O62" t="s">
        <v>130</v>
      </c>
      <c r="Q62" t="s">
        <v>136</v>
      </c>
      <c r="R62" t="s">
        <v>137</v>
      </c>
      <c r="S62" t="s">
        <v>138</v>
      </c>
      <c r="T62">
        <v>0</v>
      </c>
      <c r="U62" t="s">
        <v>139</v>
      </c>
      <c r="V62">
        <v>12.7</v>
      </c>
      <c r="W62">
        <v>4127.5</v>
      </c>
      <c r="Y62">
        <v>4095</v>
      </c>
    </row>
    <row r="63" spans="1:25">
      <c r="A63" t="s">
        <v>130</v>
      </c>
      <c r="B63" t="s">
        <v>81</v>
      </c>
      <c r="C63" t="s">
        <v>163</v>
      </c>
      <c r="D63" t="s">
        <v>82</v>
      </c>
      <c r="E63" t="s">
        <v>132</v>
      </c>
      <c r="F63" t="s">
        <v>142</v>
      </c>
      <c r="G63">
        <v>65</v>
      </c>
      <c r="H63">
        <v>325</v>
      </c>
      <c r="I63">
        <v>1210247364</v>
      </c>
      <c r="J63" t="s">
        <v>134</v>
      </c>
      <c r="K63">
        <v>12.6</v>
      </c>
      <c r="L63" s="16">
        <v>0.55940972222222218</v>
      </c>
      <c r="M63" t="s">
        <v>140</v>
      </c>
      <c r="N63" s="17">
        <v>1500000000000000</v>
      </c>
      <c r="O63" t="s">
        <v>130</v>
      </c>
      <c r="Q63" t="s">
        <v>136</v>
      </c>
      <c r="R63" t="s">
        <v>137</v>
      </c>
      <c r="S63" t="s">
        <v>138</v>
      </c>
      <c r="T63">
        <v>260</v>
      </c>
      <c r="U63" t="s">
        <v>139</v>
      </c>
      <c r="V63">
        <v>12.7</v>
      </c>
      <c r="W63">
        <v>825.5</v>
      </c>
      <c r="Y63">
        <v>4095</v>
      </c>
    </row>
    <row r="64" spans="1:25">
      <c r="A64" t="s">
        <v>130</v>
      </c>
      <c r="B64" t="s">
        <v>81</v>
      </c>
      <c r="C64" t="s">
        <v>169</v>
      </c>
      <c r="D64" t="s">
        <v>82</v>
      </c>
      <c r="E64" t="s">
        <v>132</v>
      </c>
      <c r="F64" t="s">
        <v>133</v>
      </c>
      <c r="G64">
        <v>195</v>
      </c>
      <c r="H64">
        <v>195</v>
      </c>
      <c r="I64">
        <v>1210219537</v>
      </c>
      <c r="J64" t="s">
        <v>134</v>
      </c>
      <c r="K64">
        <v>20.3</v>
      </c>
      <c r="L64" s="16">
        <v>0.53046296296296291</v>
      </c>
      <c r="M64" t="s">
        <v>135</v>
      </c>
      <c r="N64" s="17">
        <v>1000000000000000</v>
      </c>
      <c r="O64" t="s">
        <v>130</v>
      </c>
      <c r="Q64" t="s">
        <v>136</v>
      </c>
      <c r="R64" t="s">
        <v>137</v>
      </c>
      <c r="S64" t="s">
        <v>138</v>
      </c>
      <c r="T64">
        <v>0</v>
      </c>
      <c r="U64" t="s">
        <v>139</v>
      </c>
      <c r="V64">
        <v>20.3</v>
      </c>
      <c r="W64">
        <v>3958.5</v>
      </c>
      <c r="X64">
        <v>3958.5</v>
      </c>
    </row>
    <row r="65" spans="1:25">
      <c r="A65" t="s">
        <v>130</v>
      </c>
      <c r="B65" t="s">
        <v>81</v>
      </c>
      <c r="C65" t="s">
        <v>148</v>
      </c>
      <c r="D65" t="s">
        <v>82</v>
      </c>
      <c r="E65" t="s">
        <v>132</v>
      </c>
      <c r="F65" t="s">
        <v>142</v>
      </c>
      <c r="G65">
        <v>65</v>
      </c>
      <c r="H65">
        <v>65</v>
      </c>
      <c r="I65">
        <v>1210049651</v>
      </c>
      <c r="J65" t="s">
        <v>134</v>
      </c>
      <c r="K65">
        <v>185.3</v>
      </c>
      <c r="L65" s="16">
        <v>0.50910879629629635</v>
      </c>
      <c r="M65" t="s">
        <v>135</v>
      </c>
      <c r="N65" s="17">
        <v>1000000000000000</v>
      </c>
      <c r="O65" t="s">
        <v>130</v>
      </c>
      <c r="Q65" t="s">
        <v>136</v>
      </c>
      <c r="R65" t="s">
        <v>145</v>
      </c>
      <c r="S65" t="s">
        <v>138</v>
      </c>
      <c r="T65">
        <v>0</v>
      </c>
      <c r="U65" t="s">
        <v>139</v>
      </c>
      <c r="V65">
        <v>189.05</v>
      </c>
      <c r="W65">
        <v>12288.25</v>
      </c>
      <c r="Y65">
        <v>12044.5</v>
      </c>
    </row>
    <row r="66" spans="1:25">
      <c r="A66" t="s">
        <v>130</v>
      </c>
      <c r="B66" t="s">
        <v>81</v>
      </c>
      <c r="C66" t="s">
        <v>147</v>
      </c>
      <c r="D66" t="s">
        <v>82</v>
      </c>
      <c r="E66" t="s">
        <v>132</v>
      </c>
      <c r="F66" t="s">
        <v>133</v>
      </c>
      <c r="G66">
        <v>65</v>
      </c>
      <c r="H66">
        <v>65</v>
      </c>
      <c r="I66">
        <v>1210049650</v>
      </c>
      <c r="J66" t="s">
        <v>134</v>
      </c>
      <c r="K66">
        <v>170.7</v>
      </c>
      <c r="L66" s="16">
        <v>0.5090972222222222</v>
      </c>
      <c r="M66" t="s">
        <v>135</v>
      </c>
      <c r="N66" s="17">
        <v>1000000000000000</v>
      </c>
      <c r="O66" t="s">
        <v>130</v>
      </c>
      <c r="Q66" t="s">
        <v>136</v>
      </c>
      <c r="R66" t="s">
        <v>145</v>
      </c>
      <c r="S66" t="s">
        <v>138</v>
      </c>
      <c r="T66">
        <v>0</v>
      </c>
      <c r="U66" t="s">
        <v>139</v>
      </c>
      <c r="V66">
        <v>168</v>
      </c>
      <c r="W66">
        <v>10920</v>
      </c>
      <c r="X66">
        <v>11095.5</v>
      </c>
    </row>
    <row r="67" spans="1:25">
      <c r="A67" t="s">
        <v>130</v>
      </c>
      <c r="B67" t="s">
        <v>81</v>
      </c>
      <c r="C67" t="s">
        <v>163</v>
      </c>
      <c r="D67" t="s">
        <v>82</v>
      </c>
      <c r="E67" t="s">
        <v>132</v>
      </c>
      <c r="F67" t="s">
        <v>133</v>
      </c>
      <c r="G67">
        <v>325</v>
      </c>
      <c r="H67">
        <v>325</v>
      </c>
      <c r="I67">
        <v>1210217793</v>
      </c>
      <c r="J67" t="s">
        <v>134</v>
      </c>
      <c r="K67">
        <v>19.399999999999999</v>
      </c>
      <c r="L67" s="16">
        <v>0.50548611111111108</v>
      </c>
      <c r="M67" t="s">
        <v>135</v>
      </c>
      <c r="N67" s="17">
        <v>1500000000000000</v>
      </c>
      <c r="O67" t="s">
        <v>130</v>
      </c>
      <c r="Q67" t="s">
        <v>136</v>
      </c>
      <c r="R67" t="s">
        <v>137</v>
      </c>
      <c r="S67" t="s">
        <v>138</v>
      </c>
      <c r="T67">
        <v>0</v>
      </c>
      <c r="U67" t="s">
        <v>139</v>
      </c>
      <c r="V67">
        <v>19.399999999999999</v>
      </c>
      <c r="W67">
        <v>6305</v>
      </c>
      <c r="X67">
        <v>6305</v>
      </c>
    </row>
    <row r="68" spans="1:25">
      <c r="A68" t="s">
        <v>130</v>
      </c>
      <c r="B68" t="s">
        <v>81</v>
      </c>
      <c r="C68" t="s">
        <v>152</v>
      </c>
      <c r="D68" t="s">
        <v>82</v>
      </c>
      <c r="E68" t="s">
        <v>132</v>
      </c>
      <c r="F68" t="s">
        <v>142</v>
      </c>
      <c r="G68">
        <v>195</v>
      </c>
      <c r="H68">
        <v>195</v>
      </c>
      <c r="I68">
        <v>1210217769</v>
      </c>
      <c r="J68" t="s">
        <v>134</v>
      </c>
      <c r="K68">
        <v>28.15</v>
      </c>
      <c r="L68" s="16">
        <v>0.50486111111111109</v>
      </c>
      <c r="M68" t="s">
        <v>135</v>
      </c>
      <c r="N68" s="17">
        <v>1400000000000000</v>
      </c>
      <c r="O68" t="s">
        <v>130</v>
      </c>
      <c r="Q68" t="s">
        <v>136</v>
      </c>
      <c r="R68" t="s">
        <v>137</v>
      </c>
      <c r="S68" t="s">
        <v>138</v>
      </c>
      <c r="T68">
        <v>0</v>
      </c>
      <c r="U68" t="s">
        <v>139</v>
      </c>
      <c r="V68">
        <v>28.15</v>
      </c>
      <c r="W68">
        <v>5489.25</v>
      </c>
      <c r="Y68">
        <v>5489.25</v>
      </c>
    </row>
    <row r="69" spans="1:25">
      <c r="A69" t="s">
        <v>130</v>
      </c>
      <c r="B69" t="s">
        <v>81</v>
      </c>
      <c r="C69" t="s">
        <v>157</v>
      </c>
      <c r="D69" t="s">
        <v>82</v>
      </c>
      <c r="E69" t="s">
        <v>132</v>
      </c>
      <c r="F69" t="s">
        <v>142</v>
      </c>
      <c r="G69">
        <v>65</v>
      </c>
      <c r="H69">
        <v>130</v>
      </c>
      <c r="I69">
        <v>1210049649</v>
      </c>
      <c r="J69" t="s">
        <v>134</v>
      </c>
      <c r="K69">
        <v>155.85</v>
      </c>
      <c r="L69" s="16">
        <v>0.50357638888888889</v>
      </c>
      <c r="M69" t="s">
        <v>135</v>
      </c>
      <c r="N69" s="17">
        <v>1600000000000000</v>
      </c>
      <c r="O69" t="s">
        <v>130</v>
      </c>
      <c r="Q69" t="s">
        <v>136</v>
      </c>
      <c r="R69" t="s">
        <v>145</v>
      </c>
      <c r="S69" t="s">
        <v>138</v>
      </c>
      <c r="T69">
        <v>0</v>
      </c>
      <c r="U69" t="s">
        <v>139</v>
      </c>
      <c r="V69">
        <v>156.47999999999999</v>
      </c>
      <c r="W69">
        <v>20341.75</v>
      </c>
      <c r="Y69">
        <v>20260.5</v>
      </c>
    </row>
    <row r="70" spans="1:25">
      <c r="A70" t="s">
        <v>130</v>
      </c>
      <c r="B70" t="s">
        <v>81</v>
      </c>
      <c r="C70" t="s">
        <v>157</v>
      </c>
      <c r="D70" t="s">
        <v>82</v>
      </c>
      <c r="E70" t="s">
        <v>132</v>
      </c>
      <c r="F70" t="s">
        <v>142</v>
      </c>
      <c r="G70">
        <v>65</v>
      </c>
      <c r="H70">
        <v>130</v>
      </c>
      <c r="I70">
        <v>1210049649</v>
      </c>
      <c r="J70" t="s">
        <v>134</v>
      </c>
      <c r="K70">
        <v>155.85</v>
      </c>
      <c r="L70" s="16">
        <v>0.50357638888888889</v>
      </c>
      <c r="M70" t="s">
        <v>140</v>
      </c>
      <c r="N70" s="17">
        <v>1600000000000000</v>
      </c>
      <c r="O70" t="s">
        <v>130</v>
      </c>
      <c r="Q70" t="s">
        <v>136</v>
      </c>
      <c r="R70" t="s">
        <v>145</v>
      </c>
      <c r="S70" t="s">
        <v>138</v>
      </c>
      <c r="T70">
        <v>65</v>
      </c>
      <c r="U70" t="s">
        <v>139</v>
      </c>
      <c r="V70">
        <v>156.5</v>
      </c>
      <c r="W70">
        <v>10172.5</v>
      </c>
      <c r="Y70">
        <v>20260.5</v>
      </c>
    </row>
    <row r="71" spans="1:25">
      <c r="A71" t="s">
        <v>130</v>
      </c>
      <c r="B71" t="s">
        <v>81</v>
      </c>
      <c r="C71" t="s">
        <v>158</v>
      </c>
      <c r="D71" t="s">
        <v>82</v>
      </c>
      <c r="E71" t="s">
        <v>132</v>
      </c>
      <c r="F71" t="s">
        <v>133</v>
      </c>
      <c r="G71">
        <v>65</v>
      </c>
      <c r="H71">
        <v>130</v>
      </c>
      <c r="I71">
        <v>1210049648</v>
      </c>
      <c r="J71" t="s">
        <v>134</v>
      </c>
      <c r="K71">
        <v>212.2</v>
      </c>
      <c r="L71" s="16">
        <v>0.50354166666666667</v>
      </c>
      <c r="M71" t="s">
        <v>135</v>
      </c>
      <c r="N71" s="17">
        <v>1600000000000000</v>
      </c>
      <c r="O71" t="s">
        <v>130</v>
      </c>
      <c r="Q71" t="s">
        <v>136</v>
      </c>
      <c r="R71" t="s">
        <v>145</v>
      </c>
      <c r="S71" t="s">
        <v>138</v>
      </c>
      <c r="T71">
        <v>0</v>
      </c>
      <c r="U71" t="s">
        <v>139</v>
      </c>
      <c r="V71">
        <v>208.8</v>
      </c>
      <c r="W71">
        <v>27144</v>
      </c>
      <c r="X71">
        <v>27586</v>
      </c>
    </row>
    <row r="72" spans="1:25">
      <c r="A72" t="s">
        <v>130</v>
      </c>
      <c r="B72" t="s">
        <v>81</v>
      </c>
      <c r="C72" t="s">
        <v>158</v>
      </c>
      <c r="D72" t="s">
        <v>82</v>
      </c>
      <c r="E72" t="s">
        <v>132</v>
      </c>
      <c r="F72" t="s">
        <v>133</v>
      </c>
      <c r="G72">
        <v>65</v>
      </c>
      <c r="H72">
        <v>130</v>
      </c>
      <c r="I72">
        <v>1210049648</v>
      </c>
      <c r="J72" t="s">
        <v>134</v>
      </c>
      <c r="K72">
        <v>212.2</v>
      </c>
      <c r="L72" s="16">
        <v>0.50354166666666667</v>
      </c>
      <c r="M72" t="s">
        <v>140</v>
      </c>
      <c r="N72" s="17">
        <v>1600000000000000</v>
      </c>
      <c r="O72" t="s">
        <v>130</v>
      </c>
      <c r="Q72" t="s">
        <v>136</v>
      </c>
      <c r="R72" t="s">
        <v>145</v>
      </c>
      <c r="S72" t="s">
        <v>138</v>
      </c>
      <c r="T72">
        <v>65</v>
      </c>
      <c r="U72" t="s">
        <v>139</v>
      </c>
      <c r="V72">
        <v>208.8</v>
      </c>
      <c r="W72">
        <v>13572</v>
      </c>
      <c r="X72">
        <v>27586</v>
      </c>
    </row>
    <row r="73" spans="1:25">
      <c r="A73" t="s">
        <v>130</v>
      </c>
      <c r="B73" t="s">
        <v>81</v>
      </c>
      <c r="C73" t="s">
        <v>169</v>
      </c>
      <c r="D73" t="s">
        <v>82</v>
      </c>
      <c r="E73" t="s">
        <v>132</v>
      </c>
      <c r="F73" t="s">
        <v>133</v>
      </c>
      <c r="G73">
        <v>65</v>
      </c>
      <c r="H73">
        <v>585</v>
      </c>
      <c r="I73">
        <v>1210216669</v>
      </c>
      <c r="J73" t="s">
        <v>134</v>
      </c>
      <c r="K73">
        <v>21.2</v>
      </c>
      <c r="L73" s="16">
        <v>0.50171296296296297</v>
      </c>
      <c r="M73" t="s">
        <v>135</v>
      </c>
      <c r="N73" s="17">
        <v>1000000000000000</v>
      </c>
      <c r="O73" t="s">
        <v>130</v>
      </c>
      <c r="Q73" t="s">
        <v>136</v>
      </c>
      <c r="R73" t="s">
        <v>137</v>
      </c>
      <c r="S73" t="s">
        <v>138</v>
      </c>
      <c r="T73">
        <v>0</v>
      </c>
      <c r="U73" t="s">
        <v>139</v>
      </c>
      <c r="V73">
        <v>21.05</v>
      </c>
      <c r="W73">
        <v>12314.25</v>
      </c>
      <c r="X73">
        <v>12402</v>
      </c>
    </row>
    <row r="74" spans="1:25">
      <c r="A74" t="s">
        <v>130</v>
      </c>
      <c r="B74" t="s">
        <v>81</v>
      </c>
      <c r="C74" t="s">
        <v>169</v>
      </c>
      <c r="D74" t="s">
        <v>82</v>
      </c>
      <c r="E74" t="s">
        <v>132</v>
      </c>
      <c r="F74" t="s">
        <v>133</v>
      </c>
      <c r="G74">
        <v>65</v>
      </c>
      <c r="H74">
        <v>585</v>
      </c>
      <c r="I74">
        <v>1210216669</v>
      </c>
      <c r="J74" t="s">
        <v>134</v>
      </c>
      <c r="K74">
        <v>21.2</v>
      </c>
      <c r="L74" s="16">
        <v>0.50171296296296297</v>
      </c>
      <c r="M74" t="s">
        <v>140</v>
      </c>
      <c r="N74" s="17">
        <v>1000000000000000</v>
      </c>
      <c r="O74" t="s">
        <v>130</v>
      </c>
      <c r="Q74" t="s">
        <v>136</v>
      </c>
      <c r="R74" t="s">
        <v>137</v>
      </c>
      <c r="S74" t="s">
        <v>138</v>
      </c>
      <c r="T74">
        <v>65</v>
      </c>
      <c r="U74" t="s">
        <v>139</v>
      </c>
      <c r="V74">
        <v>21.05</v>
      </c>
      <c r="W74">
        <v>10946</v>
      </c>
      <c r="X74">
        <v>12402</v>
      </c>
    </row>
    <row r="75" spans="1:25">
      <c r="A75" t="s">
        <v>130</v>
      </c>
      <c r="B75" t="s">
        <v>81</v>
      </c>
      <c r="C75" t="s">
        <v>169</v>
      </c>
      <c r="D75" t="s">
        <v>82</v>
      </c>
      <c r="E75" t="s">
        <v>132</v>
      </c>
      <c r="F75" t="s">
        <v>133</v>
      </c>
      <c r="G75">
        <v>195</v>
      </c>
      <c r="H75">
        <v>585</v>
      </c>
      <c r="I75">
        <v>1210216669</v>
      </c>
      <c r="J75" t="s">
        <v>134</v>
      </c>
      <c r="K75">
        <v>21.2</v>
      </c>
      <c r="L75" s="16">
        <v>0.50171296296296297</v>
      </c>
      <c r="M75" t="s">
        <v>140</v>
      </c>
      <c r="N75" s="17">
        <v>1000000000000000</v>
      </c>
      <c r="O75" t="s">
        <v>130</v>
      </c>
      <c r="Q75" t="s">
        <v>136</v>
      </c>
      <c r="R75" t="s">
        <v>137</v>
      </c>
      <c r="S75" t="s">
        <v>138</v>
      </c>
      <c r="T75">
        <v>130</v>
      </c>
      <c r="U75" t="s">
        <v>139</v>
      </c>
      <c r="V75">
        <v>21.05</v>
      </c>
      <c r="W75">
        <v>9577.75</v>
      </c>
      <c r="X75">
        <v>12402</v>
      </c>
    </row>
    <row r="76" spans="1:25">
      <c r="A76" t="s">
        <v>130</v>
      </c>
      <c r="B76" t="s">
        <v>81</v>
      </c>
      <c r="C76" t="s">
        <v>169</v>
      </c>
      <c r="D76" t="s">
        <v>82</v>
      </c>
      <c r="E76" t="s">
        <v>132</v>
      </c>
      <c r="F76" t="s">
        <v>133</v>
      </c>
      <c r="G76">
        <v>65</v>
      </c>
      <c r="H76">
        <v>585</v>
      </c>
      <c r="I76">
        <v>1210216669</v>
      </c>
      <c r="J76" t="s">
        <v>134</v>
      </c>
      <c r="K76">
        <v>21.2</v>
      </c>
      <c r="L76" s="16">
        <v>0.50171296296296297</v>
      </c>
      <c r="M76" t="s">
        <v>140</v>
      </c>
      <c r="N76" s="17">
        <v>1000000000000000</v>
      </c>
      <c r="O76" t="s">
        <v>130</v>
      </c>
      <c r="Q76" t="s">
        <v>136</v>
      </c>
      <c r="R76" t="s">
        <v>137</v>
      </c>
      <c r="S76" t="s">
        <v>138</v>
      </c>
      <c r="T76">
        <v>325</v>
      </c>
      <c r="U76" t="s">
        <v>139</v>
      </c>
      <c r="V76">
        <v>21.05</v>
      </c>
      <c r="W76">
        <v>5473</v>
      </c>
      <c r="X76">
        <v>12402</v>
      </c>
    </row>
    <row r="77" spans="1:25">
      <c r="A77" t="s">
        <v>130</v>
      </c>
      <c r="B77" t="s">
        <v>81</v>
      </c>
      <c r="C77" t="s">
        <v>169</v>
      </c>
      <c r="D77" t="s">
        <v>82</v>
      </c>
      <c r="E77" t="s">
        <v>132</v>
      </c>
      <c r="F77" t="s">
        <v>133</v>
      </c>
      <c r="G77">
        <v>65</v>
      </c>
      <c r="H77">
        <v>585</v>
      </c>
      <c r="I77">
        <v>1210216669</v>
      </c>
      <c r="J77" t="s">
        <v>134</v>
      </c>
      <c r="K77">
        <v>21.2</v>
      </c>
      <c r="L77" s="16">
        <v>0.50171296296296297</v>
      </c>
      <c r="M77" t="s">
        <v>140</v>
      </c>
      <c r="N77" s="17">
        <v>1000000000000000</v>
      </c>
      <c r="O77" t="s">
        <v>130</v>
      </c>
      <c r="Q77" t="s">
        <v>136</v>
      </c>
      <c r="R77" t="s">
        <v>137</v>
      </c>
      <c r="S77" t="s">
        <v>138</v>
      </c>
      <c r="T77">
        <v>390</v>
      </c>
      <c r="U77" t="s">
        <v>139</v>
      </c>
      <c r="V77">
        <v>21.05</v>
      </c>
      <c r="W77">
        <v>4104.75</v>
      </c>
      <c r="X77">
        <v>12402</v>
      </c>
    </row>
    <row r="78" spans="1:25">
      <c r="A78" t="s">
        <v>130</v>
      </c>
      <c r="B78" t="s">
        <v>81</v>
      </c>
      <c r="C78" t="s">
        <v>169</v>
      </c>
      <c r="D78" t="s">
        <v>82</v>
      </c>
      <c r="E78" t="s">
        <v>132</v>
      </c>
      <c r="F78" t="s">
        <v>133</v>
      </c>
      <c r="G78">
        <v>65</v>
      </c>
      <c r="H78">
        <v>585</v>
      </c>
      <c r="I78">
        <v>1210216669</v>
      </c>
      <c r="J78" t="s">
        <v>134</v>
      </c>
      <c r="K78">
        <v>21.2</v>
      </c>
      <c r="L78" s="16">
        <v>0.50171296296296297</v>
      </c>
      <c r="M78" t="s">
        <v>140</v>
      </c>
      <c r="N78" s="17">
        <v>1000000000000000</v>
      </c>
      <c r="O78" t="s">
        <v>130</v>
      </c>
      <c r="Q78" t="s">
        <v>136</v>
      </c>
      <c r="R78" t="s">
        <v>137</v>
      </c>
      <c r="S78" t="s">
        <v>138</v>
      </c>
      <c r="T78">
        <v>455</v>
      </c>
      <c r="U78" t="s">
        <v>139</v>
      </c>
      <c r="V78">
        <v>21.05</v>
      </c>
      <c r="W78">
        <v>2736.5</v>
      </c>
      <c r="X78">
        <v>12402</v>
      </c>
    </row>
    <row r="79" spans="1:25">
      <c r="A79" t="s">
        <v>130</v>
      </c>
      <c r="B79" t="s">
        <v>81</v>
      </c>
      <c r="C79" t="s">
        <v>169</v>
      </c>
      <c r="D79" t="s">
        <v>82</v>
      </c>
      <c r="E79" t="s">
        <v>132</v>
      </c>
      <c r="F79" t="s">
        <v>133</v>
      </c>
      <c r="G79">
        <v>65</v>
      </c>
      <c r="H79">
        <v>585</v>
      </c>
      <c r="I79">
        <v>1210216669</v>
      </c>
      <c r="J79" t="s">
        <v>134</v>
      </c>
      <c r="K79">
        <v>21.2</v>
      </c>
      <c r="L79" s="16">
        <v>0.50171296296296297</v>
      </c>
      <c r="M79" t="s">
        <v>140</v>
      </c>
      <c r="N79" s="17">
        <v>1000000000000000</v>
      </c>
      <c r="O79" t="s">
        <v>130</v>
      </c>
      <c r="Q79" t="s">
        <v>136</v>
      </c>
      <c r="R79" t="s">
        <v>137</v>
      </c>
      <c r="S79" t="s">
        <v>138</v>
      </c>
      <c r="T79">
        <v>520</v>
      </c>
      <c r="U79" t="s">
        <v>139</v>
      </c>
      <c r="V79">
        <v>21.05</v>
      </c>
      <c r="W79">
        <v>1368.25</v>
      </c>
      <c r="X79">
        <v>12402</v>
      </c>
    </row>
    <row r="80" spans="1:25">
      <c r="A80" t="s">
        <v>130</v>
      </c>
      <c r="B80" t="s">
        <v>81</v>
      </c>
      <c r="C80" t="s">
        <v>143</v>
      </c>
      <c r="D80" t="s">
        <v>82</v>
      </c>
      <c r="E80" t="s">
        <v>132</v>
      </c>
      <c r="F80" t="s">
        <v>142</v>
      </c>
      <c r="G80">
        <v>585</v>
      </c>
      <c r="H80">
        <v>585</v>
      </c>
      <c r="I80">
        <v>1210216646</v>
      </c>
      <c r="J80" t="s">
        <v>134</v>
      </c>
      <c r="K80">
        <v>12</v>
      </c>
      <c r="L80" s="16">
        <v>0.50126157407407412</v>
      </c>
      <c r="M80" t="s">
        <v>135</v>
      </c>
      <c r="N80" s="17">
        <v>1500000000000000</v>
      </c>
      <c r="O80" t="s">
        <v>130</v>
      </c>
      <c r="Q80" t="s">
        <v>136</v>
      </c>
      <c r="R80" t="s">
        <v>137</v>
      </c>
      <c r="S80" t="s">
        <v>138</v>
      </c>
      <c r="T80">
        <v>0</v>
      </c>
      <c r="U80" t="s">
        <v>139</v>
      </c>
      <c r="V80">
        <v>12.2</v>
      </c>
      <c r="W80">
        <v>7137</v>
      </c>
      <c r="Y80">
        <v>7020</v>
      </c>
    </row>
    <row r="81" spans="1:25">
      <c r="A81" t="s">
        <v>130</v>
      </c>
      <c r="B81" t="s">
        <v>81</v>
      </c>
      <c r="C81" t="s">
        <v>160</v>
      </c>
      <c r="D81" t="s">
        <v>82</v>
      </c>
      <c r="E81" t="s">
        <v>132</v>
      </c>
      <c r="F81" t="s">
        <v>142</v>
      </c>
      <c r="G81">
        <v>65</v>
      </c>
      <c r="H81">
        <v>65</v>
      </c>
      <c r="I81">
        <v>1210049645</v>
      </c>
      <c r="J81" t="s">
        <v>134</v>
      </c>
      <c r="K81">
        <v>138.85</v>
      </c>
      <c r="L81" s="16">
        <v>0.50075231481481486</v>
      </c>
      <c r="M81" t="s">
        <v>135</v>
      </c>
      <c r="N81" s="17">
        <v>1500000000000000</v>
      </c>
      <c r="O81" t="s">
        <v>130</v>
      </c>
      <c r="Q81" t="s">
        <v>136</v>
      </c>
      <c r="R81" t="s">
        <v>145</v>
      </c>
      <c r="S81" t="s">
        <v>138</v>
      </c>
      <c r="T81">
        <v>0</v>
      </c>
      <c r="U81" t="s">
        <v>139</v>
      </c>
      <c r="V81">
        <v>141.4</v>
      </c>
      <c r="W81">
        <v>9191</v>
      </c>
      <c r="Y81">
        <v>9025.25</v>
      </c>
    </row>
    <row r="82" spans="1:25">
      <c r="A82" t="s">
        <v>130</v>
      </c>
      <c r="B82" t="s">
        <v>81</v>
      </c>
      <c r="C82" t="s">
        <v>161</v>
      </c>
      <c r="D82" t="s">
        <v>82</v>
      </c>
      <c r="E82" t="s">
        <v>132</v>
      </c>
      <c r="F82" t="s">
        <v>133</v>
      </c>
      <c r="G82">
        <v>65</v>
      </c>
      <c r="H82">
        <v>65</v>
      </c>
      <c r="I82">
        <v>1210049644</v>
      </c>
      <c r="J82" t="s">
        <v>134</v>
      </c>
      <c r="K82">
        <v>233.6</v>
      </c>
      <c r="L82" s="16">
        <v>0.50072916666666667</v>
      </c>
      <c r="M82" t="s">
        <v>135</v>
      </c>
      <c r="N82" s="17">
        <v>1500000000000000</v>
      </c>
      <c r="O82" t="s">
        <v>130</v>
      </c>
      <c r="Q82" t="s">
        <v>136</v>
      </c>
      <c r="R82" t="s">
        <v>145</v>
      </c>
      <c r="S82" t="s">
        <v>138</v>
      </c>
      <c r="T82">
        <v>0</v>
      </c>
      <c r="U82" t="s">
        <v>139</v>
      </c>
      <c r="V82">
        <v>230.2</v>
      </c>
      <c r="W82">
        <v>14963</v>
      </c>
      <c r="X82">
        <v>15184</v>
      </c>
    </row>
    <row r="83" spans="1:25">
      <c r="A83" t="s">
        <v>130</v>
      </c>
      <c r="B83" t="s">
        <v>81</v>
      </c>
      <c r="C83" t="s">
        <v>161</v>
      </c>
      <c r="D83" t="s">
        <v>82</v>
      </c>
      <c r="E83" t="s">
        <v>132</v>
      </c>
      <c r="F83" t="s">
        <v>142</v>
      </c>
      <c r="G83">
        <v>65</v>
      </c>
      <c r="H83">
        <v>130</v>
      </c>
      <c r="I83">
        <v>1210214432</v>
      </c>
      <c r="J83" t="s">
        <v>134</v>
      </c>
      <c r="K83">
        <v>218.15</v>
      </c>
      <c r="L83" s="16">
        <v>0.4997800925925926</v>
      </c>
      <c r="M83" t="s">
        <v>135</v>
      </c>
      <c r="N83" s="17">
        <v>1500000000000000</v>
      </c>
      <c r="O83" t="s">
        <v>130</v>
      </c>
      <c r="Q83" t="s">
        <v>136</v>
      </c>
      <c r="R83" t="s">
        <v>137</v>
      </c>
      <c r="S83" t="s">
        <v>138</v>
      </c>
      <c r="T83">
        <v>0</v>
      </c>
      <c r="U83" t="s">
        <v>139</v>
      </c>
      <c r="V83">
        <v>219.18</v>
      </c>
      <c r="W83">
        <v>28492.75</v>
      </c>
      <c r="Y83">
        <v>28359.5</v>
      </c>
    </row>
    <row r="84" spans="1:25">
      <c r="A84" t="s">
        <v>130</v>
      </c>
      <c r="B84" t="s">
        <v>81</v>
      </c>
      <c r="C84" t="s">
        <v>161</v>
      </c>
      <c r="D84" t="s">
        <v>82</v>
      </c>
      <c r="E84" t="s">
        <v>132</v>
      </c>
      <c r="F84" t="s">
        <v>142</v>
      </c>
      <c r="G84">
        <v>65</v>
      </c>
      <c r="H84">
        <v>130</v>
      </c>
      <c r="I84">
        <v>1210214432</v>
      </c>
      <c r="J84" t="s">
        <v>134</v>
      </c>
      <c r="K84">
        <v>218.15</v>
      </c>
      <c r="L84" s="16">
        <v>0.4997800925925926</v>
      </c>
      <c r="M84" t="s">
        <v>140</v>
      </c>
      <c r="N84" s="17">
        <v>1500000000000000</v>
      </c>
      <c r="O84" t="s">
        <v>130</v>
      </c>
      <c r="Q84" t="s">
        <v>136</v>
      </c>
      <c r="R84" t="s">
        <v>137</v>
      </c>
      <c r="S84" t="s">
        <v>138</v>
      </c>
      <c r="T84">
        <v>65</v>
      </c>
      <c r="U84" t="s">
        <v>139</v>
      </c>
      <c r="V84">
        <v>219.2</v>
      </c>
      <c r="W84">
        <v>14248</v>
      </c>
      <c r="Y84">
        <v>28359.5</v>
      </c>
    </row>
    <row r="85" spans="1:25">
      <c r="A85" t="s">
        <v>130</v>
      </c>
      <c r="B85" t="s">
        <v>81</v>
      </c>
      <c r="C85" t="s">
        <v>161</v>
      </c>
      <c r="D85" t="s">
        <v>82</v>
      </c>
      <c r="E85" t="s">
        <v>132</v>
      </c>
      <c r="F85" t="s">
        <v>142</v>
      </c>
      <c r="G85">
        <v>65</v>
      </c>
      <c r="H85">
        <v>65</v>
      </c>
      <c r="I85">
        <v>1210049636</v>
      </c>
      <c r="J85" t="s">
        <v>134</v>
      </c>
      <c r="K85">
        <v>185.2</v>
      </c>
      <c r="L85" s="16">
        <v>0.48</v>
      </c>
      <c r="M85" t="s">
        <v>135</v>
      </c>
      <c r="N85" s="17">
        <v>1500000000000000</v>
      </c>
      <c r="O85" t="s">
        <v>130</v>
      </c>
      <c r="Q85" t="s">
        <v>136</v>
      </c>
      <c r="R85" t="s">
        <v>145</v>
      </c>
      <c r="S85" t="s">
        <v>138</v>
      </c>
      <c r="T85">
        <v>0</v>
      </c>
      <c r="U85" t="s">
        <v>139</v>
      </c>
      <c r="V85">
        <v>189.55</v>
      </c>
      <c r="W85">
        <v>12320.75</v>
      </c>
      <c r="Y85">
        <v>12038</v>
      </c>
    </row>
    <row r="86" spans="1:25">
      <c r="A86" t="s">
        <v>130</v>
      </c>
      <c r="B86" t="s">
        <v>81</v>
      </c>
      <c r="C86" t="s">
        <v>160</v>
      </c>
      <c r="D86" t="s">
        <v>82</v>
      </c>
      <c r="E86" t="s">
        <v>132</v>
      </c>
      <c r="F86" t="s">
        <v>133</v>
      </c>
      <c r="G86">
        <v>65</v>
      </c>
      <c r="H86">
        <v>65</v>
      </c>
      <c r="I86">
        <v>1210049635</v>
      </c>
      <c r="J86" t="s">
        <v>134</v>
      </c>
      <c r="K86">
        <v>172.4</v>
      </c>
      <c r="L86" s="16">
        <v>0.47998842592592594</v>
      </c>
      <c r="M86" t="s">
        <v>135</v>
      </c>
      <c r="N86" s="17">
        <v>1500000000000000</v>
      </c>
      <c r="O86" t="s">
        <v>130</v>
      </c>
      <c r="Q86" t="s">
        <v>136</v>
      </c>
      <c r="R86" t="s">
        <v>145</v>
      </c>
      <c r="S86" t="s">
        <v>138</v>
      </c>
      <c r="T86">
        <v>0</v>
      </c>
      <c r="U86" t="s">
        <v>139</v>
      </c>
      <c r="V86">
        <v>168.75</v>
      </c>
      <c r="W86">
        <v>10968.75</v>
      </c>
      <c r="X86">
        <v>11206</v>
      </c>
    </row>
    <row r="87" spans="1:25">
      <c r="A87" t="s">
        <v>130</v>
      </c>
      <c r="B87" t="s">
        <v>81</v>
      </c>
      <c r="C87" t="s">
        <v>161</v>
      </c>
      <c r="D87" t="s">
        <v>82</v>
      </c>
      <c r="E87" t="s">
        <v>132</v>
      </c>
      <c r="F87" t="s">
        <v>142</v>
      </c>
      <c r="G87">
        <v>65</v>
      </c>
      <c r="H87">
        <v>65</v>
      </c>
      <c r="I87">
        <v>1210049634</v>
      </c>
      <c r="J87" t="s">
        <v>134</v>
      </c>
      <c r="K87">
        <v>185.2</v>
      </c>
      <c r="L87" s="16">
        <v>0.47998842592592594</v>
      </c>
      <c r="M87" t="s">
        <v>135</v>
      </c>
      <c r="N87" s="17">
        <v>1500000000000000</v>
      </c>
      <c r="O87" t="s">
        <v>130</v>
      </c>
      <c r="Q87" t="s">
        <v>136</v>
      </c>
      <c r="R87" t="s">
        <v>145</v>
      </c>
      <c r="S87" t="s">
        <v>138</v>
      </c>
      <c r="T87">
        <v>0</v>
      </c>
      <c r="U87" t="s">
        <v>139</v>
      </c>
      <c r="V87">
        <v>189.2</v>
      </c>
      <c r="W87">
        <v>12298</v>
      </c>
      <c r="Y87">
        <v>12038</v>
      </c>
    </row>
    <row r="88" spans="1:25">
      <c r="A88" t="s">
        <v>130</v>
      </c>
      <c r="B88" t="s">
        <v>81</v>
      </c>
      <c r="C88" t="s">
        <v>160</v>
      </c>
      <c r="D88" t="s">
        <v>82</v>
      </c>
      <c r="E88" t="s">
        <v>132</v>
      </c>
      <c r="F88" t="s">
        <v>133</v>
      </c>
      <c r="G88">
        <v>65</v>
      </c>
      <c r="H88">
        <v>65</v>
      </c>
      <c r="I88">
        <v>1210049633</v>
      </c>
      <c r="J88" t="s">
        <v>134</v>
      </c>
      <c r="K88">
        <v>172.4</v>
      </c>
      <c r="L88" s="16">
        <v>0.47997685185185185</v>
      </c>
      <c r="M88" t="s">
        <v>135</v>
      </c>
      <c r="N88" s="17">
        <v>1500000000000000</v>
      </c>
      <c r="O88" t="s">
        <v>130</v>
      </c>
      <c r="Q88" t="s">
        <v>136</v>
      </c>
      <c r="R88" t="s">
        <v>145</v>
      </c>
      <c r="S88" t="s">
        <v>138</v>
      </c>
      <c r="T88">
        <v>0</v>
      </c>
      <c r="U88" t="s">
        <v>139</v>
      </c>
      <c r="V88">
        <v>168.85</v>
      </c>
      <c r="W88">
        <v>10975.25</v>
      </c>
      <c r="X88">
        <v>11206</v>
      </c>
    </row>
    <row r="89" spans="1:25">
      <c r="A89" t="s">
        <v>130</v>
      </c>
      <c r="B89" t="s">
        <v>81</v>
      </c>
      <c r="C89" t="s">
        <v>160</v>
      </c>
      <c r="D89" t="s">
        <v>82</v>
      </c>
      <c r="E89" t="s">
        <v>132</v>
      </c>
      <c r="F89" t="s">
        <v>142</v>
      </c>
      <c r="G89">
        <v>65</v>
      </c>
      <c r="H89">
        <v>65</v>
      </c>
      <c r="I89">
        <v>1210049626</v>
      </c>
      <c r="J89" t="s">
        <v>134</v>
      </c>
      <c r="K89">
        <v>176.4</v>
      </c>
      <c r="L89" s="16">
        <v>0.46260416666666665</v>
      </c>
      <c r="M89" t="s">
        <v>135</v>
      </c>
      <c r="N89" s="17">
        <v>1500000000000000</v>
      </c>
      <c r="O89" t="s">
        <v>130</v>
      </c>
      <c r="Q89" t="s">
        <v>136</v>
      </c>
      <c r="R89" t="s">
        <v>145</v>
      </c>
      <c r="S89" t="s">
        <v>138</v>
      </c>
      <c r="T89">
        <v>0</v>
      </c>
      <c r="U89" t="s">
        <v>139</v>
      </c>
      <c r="V89">
        <v>179.85</v>
      </c>
      <c r="W89">
        <v>11690.25</v>
      </c>
      <c r="Y89">
        <v>11466</v>
      </c>
    </row>
    <row r="90" spans="1:25">
      <c r="A90" t="s">
        <v>130</v>
      </c>
      <c r="B90" t="s">
        <v>81</v>
      </c>
      <c r="C90" t="s">
        <v>160</v>
      </c>
      <c r="D90" t="s">
        <v>82</v>
      </c>
      <c r="E90" t="s">
        <v>132</v>
      </c>
      <c r="F90" t="s">
        <v>142</v>
      </c>
      <c r="G90">
        <v>65</v>
      </c>
      <c r="H90">
        <v>65</v>
      </c>
      <c r="I90">
        <v>1210049625</v>
      </c>
      <c r="J90" t="s">
        <v>134</v>
      </c>
      <c r="K90">
        <v>176.65</v>
      </c>
      <c r="L90" s="16">
        <v>0.46259259259259261</v>
      </c>
      <c r="M90" t="s">
        <v>135</v>
      </c>
      <c r="N90" s="17">
        <v>1500000000000000</v>
      </c>
      <c r="O90" t="s">
        <v>130</v>
      </c>
      <c r="Q90" t="s">
        <v>136</v>
      </c>
      <c r="R90" t="s">
        <v>145</v>
      </c>
      <c r="S90" t="s">
        <v>138</v>
      </c>
      <c r="T90">
        <v>0</v>
      </c>
      <c r="U90" t="s">
        <v>139</v>
      </c>
      <c r="V90">
        <v>180</v>
      </c>
      <c r="W90">
        <v>11700</v>
      </c>
      <c r="Y90">
        <v>11482.25</v>
      </c>
    </row>
    <row r="91" spans="1:25">
      <c r="A91" t="s">
        <v>130</v>
      </c>
      <c r="B91" t="s">
        <v>81</v>
      </c>
      <c r="C91" t="s">
        <v>161</v>
      </c>
      <c r="D91" t="s">
        <v>82</v>
      </c>
      <c r="E91" t="s">
        <v>132</v>
      </c>
      <c r="F91" t="s">
        <v>133</v>
      </c>
      <c r="G91">
        <v>65</v>
      </c>
      <c r="H91">
        <v>65</v>
      </c>
      <c r="I91">
        <v>1210049624</v>
      </c>
      <c r="J91" t="s">
        <v>134</v>
      </c>
      <c r="K91">
        <v>187.25</v>
      </c>
      <c r="L91" s="16">
        <v>0.46259259259259261</v>
      </c>
      <c r="M91" t="s">
        <v>135</v>
      </c>
      <c r="N91" s="17">
        <v>1500000000000000</v>
      </c>
      <c r="O91" t="s">
        <v>130</v>
      </c>
      <c r="Q91" t="s">
        <v>136</v>
      </c>
      <c r="R91" t="s">
        <v>145</v>
      </c>
      <c r="S91" t="s">
        <v>138</v>
      </c>
      <c r="T91">
        <v>0</v>
      </c>
      <c r="U91" t="s">
        <v>139</v>
      </c>
      <c r="V91">
        <v>183.95</v>
      </c>
      <c r="W91">
        <v>11956.75</v>
      </c>
      <c r="X91">
        <v>12171.25</v>
      </c>
    </row>
    <row r="92" spans="1:25">
      <c r="A92" t="s">
        <v>130</v>
      </c>
      <c r="B92" t="s">
        <v>81</v>
      </c>
      <c r="C92" t="s">
        <v>161</v>
      </c>
      <c r="D92" t="s">
        <v>82</v>
      </c>
      <c r="E92" t="s">
        <v>132</v>
      </c>
      <c r="F92" t="s">
        <v>133</v>
      </c>
      <c r="G92">
        <v>65</v>
      </c>
      <c r="H92">
        <v>65</v>
      </c>
      <c r="I92">
        <v>1210049623</v>
      </c>
      <c r="J92" t="s">
        <v>134</v>
      </c>
      <c r="K92">
        <v>187.25</v>
      </c>
      <c r="L92" s="16">
        <v>0.46258101851851852</v>
      </c>
      <c r="M92" t="s">
        <v>135</v>
      </c>
      <c r="N92" s="17">
        <v>1500000000000000</v>
      </c>
      <c r="O92" t="s">
        <v>130</v>
      </c>
      <c r="Q92" t="s">
        <v>136</v>
      </c>
      <c r="R92" t="s">
        <v>145</v>
      </c>
      <c r="S92" t="s">
        <v>138</v>
      </c>
      <c r="T92">
        <v>0</v>
      </c>
      <c r="U92" t="s">
        <v>139</v>
      </c>
      <c r="V92">
        <v>183.85</v>
      </c>
      <c r="W92">
        <v>11950.25</v>
      </c>
      <c r="X92">
        <v>12171.25</v>
      </c>
    </row>
    <row r="93" spans="1:25">
      <c r="A93" t="s">
        <v>130</v>
      </c>
      <c r="B93" t="s">
        <v>81</v>
      </c>
      <c r="C93" t="s">
        <v>161</v>
      </c>
      <c r="D93" t="s">
        <v>82</v>
      </c>
      <c r="E93" t="s">
        <v>132</v>
      </c>
      <c r="F93" t="s">
        <v>142</v>
      </c>
      <c r="G93">
        <v>65</v>
      </c>
      <c r="H93">
        <v>65</v>
      </c>
      <c r="I93">
        <v>1210049616</v>
      </c>
      <c r="J93" t="s">
        <v>134</v>
      </c>
      <c r="K93">
        <v>181.65</v>
      </c>
      <c r="L93" s="16">
        <v>0.44797453703703705</v>
      </c>
      <c r="M93" t="s">
        <v>135</v>
      </c>
      <c r="N93" s="17">
        <v>1500000000000000</v>
      </c>
      <c r="O93" t="s">
        <v>130</v>
      </c>
      <c r="Q93" t="s">
        <v>136</v>
      </c>
      <c r="R93" t="s">
        <v>145</v>
      </c>
      <c r="S93" t="s">
        <v>138</v>
      </c>
      <c r="T93">
        <v>0</v>
      </c>
      <c r="U93" t="s">
        <v>139</v>
      </c>
      <c r="V93">
        <v>184.75</v>
      </c>
      <c r="W93">
        <v>12008.75</v>
      </c>
      <c r="Y93">
        <v>11807.25</v>
      </c>
    </row>
    <row r="94" spans="1:25">
      <c r="A94" t="s">
        <v>130</v>
      </c>
      <c r="B94" t="s">
        <v>81</v>
      </c>
      <c r="C94" t="s">
        <v>161</v>
      </c>
      <c r="D94" t="s">
        <v>82</v>
      </c>
      <c r="E94" t="s">
        <v>132</v>
      </c>
      <c r="F94" t="s">
        <v>142</v>
      </c>
      <c r="G94">
        <v>65</v>
      </c>
      <c r="H94">
        <v>65</v>
      </c>
      <c r="I94">
        <v>1210049615</v>
      </c>
      <c r="J94" t="s">
        <v>134</v>
      </c>
      <c r="K94">
        <v>181.65</v>
      </c>
      <c r="L94" s="16">
        <v>0.44796296296296295</v>
      </c>
      <c r="M94" t="s">
        <v>135</v>
      </c>
      <c r="N94" s="17">
        <v>1500000000000000</v>
      </c>
      <c r="O94" t="s">
        <v>130</v>
      </c>
      <c r="Q94" t="s">
        <v>136</v>
      </c>
      <c r="R94" t="s">
        <v>145</v>
      </c>
      <c r="S94" t="s">
        <v>138</v>
      </c>
      <c r="T94">
        <v>0</v>
      </c>
      <c r="U94" t="s">
        <v>139</v>
      </c>
      <c r="V94">
        <v>185</v>
      </c>
      <c r="W94">
        <v>12025</v>
      </c>
      <c r="Y94">
        <v>11807.25</v>
      </c>
    </row>
    <row r="95" spans="1:25">
      <c r="A95" t="s">
        <v>130</v>
      </c>
      <c r="B95" t="s">
        <v>81</v>
      </c>
      <c r="C95" t="s">
        <v>160</v>
      </c>
      <c r="D95" t="s">
        <v>82</v>
      </c>
      <c r="E95" t="s">
        <v>132</v>
      </c>
      <c r="F95" t="s">
        <v>133</v>
      </c>
      <c r="G95">
        <v>65</v>
      </c>
      <c r="H95">
        <v>65</v>
      </c>
      <c r="I95">
        <v>1210049614</v>
      </c>
      <c r="J95" t="s">
        <v>134</v>
      </c>
      <c r="K95">
        <v>185.05</v>
      </c>
      <c r="L95" s="16">
        <v>0.44795138888888891</v>
      </c>
      <c r="M95" t="s">
        <v>135</v>
      </c>
      <c r="N95" s="17">
        <v>1500000000000000</v>
      </c>
      <c r="O95" t="s">
        <v>130</v>
      </c>
      <c r="Q95" t="s">
        <v>136</v>
      </c>
      <c r="R95" t="s">
        <v>145</v>
      </c>
      <c r="S95" t="s">
        <v>138</v>
      </c>
      <c r="T95">
        <v>0</v>
      </c>
      <c r="U95" t="s">
        <v>139</v>
      </c>
      <c r="V95">
        <v>181.6</v>
      </c>
      <c r="W95">
        <v>11804</v>
      </c>
      <c r="X95">
        <v>12028.25</v>
      </c>
    </row>
    <row r="96" spans="1:25">
      <c r="A96" t="s">
        <v>130</v>
      </c>
      <c r="B96" t="s">
        <v>81</v>
      </c>
      <c r="C96" t="s">
        <v>160</v>
      </c>
      <c r="D96" t="s">
        <v>82</v>
      </c>
      <c r="E96" t="s">
        <v>132</v>
      </c>
      <c r="F96" t="s">
        <v>133</v>
      </c>
      <c r="G96">
        <v>65</v>
      </c>
      <c r="H96">
        <v>65</v>
      </c>
      <c r="I96">
        <v>1210049609</v>
      </c>
      <c r="J96" t="s">
        <v>134</v>
      </c>
      <c r="K96">
        <v>185.05</v>
      </c>
      <c r="L96" s="16">
        <v>0.44795138888888891</v>
      </c>
      <c r="M96" t="s">
        <v>135</v>
      </c>
      <c r="N96" s="17">
        <v>1500000000000000</v>
      </c>
      <c r="O96" t="s">
        <v>130</v>
      </c>
      <c r="Q96" t="s">
        <v>136</v>
      </c>
      <c r="R96" t="s">
        <v>145</v>
      </c>
      <c r="S96" t="s">
        <v>138</v>
      </c>
      <c r="T96">
        <v>0</v>
      </c>
      <c r="U96" t="s">
        <v>139</v>
      </c>
      <c r="V96">
        <v>181.85</v>
      </c>
      <c r="W96">
        <v>11820.25</v>
      </c>
      <c r="X96">
        <v>12028.25</v>
      </c>
    </row>
    <row r="97" spans="1:25">
      <c r="A97" t="s">
        <v>130</v>
      </c>
      <c r="B97" t="s">
        <v>81</v>
      </c>
      <c r="C97" t="s">
        <v>160</v>
      </c>
      <c r="D97" t="s">
        <v>82</v>
      </c>
      <c r="E97" t="s">
        <v>132</v>
      </c>
      <c r="F97" t="s">
        <v>142</v>
      </c>
      <c r="G97">
        <v>65</v>
      </c>
      <c r="H97">
        <v>65</v>
      </c>
      <c r="I97">
        <v>1210049606</v>
      </c>
      <c r="J97" t="s">
        <v>134</v>
      </c>
      <c r="K97">
        <v>175.05</v>
      </c>
      <c r="L97" s="16">
        <v>0.43135416666666665</v>
      </c>
      <c r="M97" t="s">
        <v>135</v>
      </c>
      <c r="N97" s="17">
        <v>1500000000000000</v>
      </c>
      <c r="O97" t="s">
        <v>130</v>
      </c>
      <c r="Q97" t="s">
        <v>136</v>
      </c>
      <c r="R97" t="s">
        <v>145</v>
      </c>
      <c r="S97" t="s">
        <v>138</v>
      </c>
      <c r="T97">
        <v>0</v>
      </c>
      <c r="U97" t="s">
        <v>139</v>
      </c>
      <c r="V97">
        <v>177.9</v>
      </c>
      <c r="W97">
        <v>11563.5</v>
      </c>
      <c r="Y97">
        <v>11378.25</v>
      </c>
    </row>
    <row r="98" spans="1:25">
      <c r="A98" t="s">
        <v>130</v>
      </c>
      <c r="B98" t="s">
        <v>81</v>
      </c>
      <c r="C98" t="s">
        <v>160</v>
      </c>
      <c r="D98" t="s">
        <v>82</v>
      </c>
      <c r="E98" t="s">
        <v>132</v>
      </c>
      <c r="F98" t="s">
        <v>142</v>
      </c>
      <c r="G98">
        <v>65</v>
      </c>
      <c r="H98">
        <v>65</v>
      </c>
      <c r="I98">
        <v>1210049605</v>
      </c>
      <c r="J98" t="s">
        <v>134</v>
      </c>
      <c r="K98">
        <v>174.4</v>
      </c>
      <c r="L98" s="16">
        <v>0.43134259259259261</v>
      </c>
      <c r="M98" t="s">
        <v>135</v>
      </c>
      <c r="N98" s="17">
        <v>1500000000000000</v>
      </c>
      <c r="O98" t="s">
        <v>130</v>
      </c>
      <c r="Q98" t="s">
        <v>136</v>
      </c>
      <c r="R98" t="s">
        <v>145</v>
      </c>
      <c r="S98" t="s">
        <v>138</v>
      </c>
      <c r="T98">
        <v>0</v>
      </c>
      <c r="U98" t="s">
        <v>139</v>
      </c>
      <c r="V98">
        <v>178.05</v>
      </c>
      <c r="W98">
        <v>11573.25</v>
      </c>
      <c r="Y98">
        <v>11336</v>
      </c>
    </row>
    <row r="99" spans="1:25">
      <c r="A99" t="s">
        <v>130</v>
      </c>
      <c r="B99" t="s">
        <v>81</v>
      </c>
      <c r="C99" t="s">
        <v>161</v>
      </c>
      <c r="D99" t="s">
        <v>82</v>
      </c>
      <c r="E99" t="s">
        <v>132</v>
      </c>
      <c r="F99" t="s">
        <v>133</v>
      </c>
      <c r="G99">
        <v>65</v>
      </c>
      <c r="H99">
        <v>65</v>
      </c>
      <c r="I99">
        <v>1210049604</v>
      </c>
      <c r="J99" t="s">
        <v>134</v>
      </c>
      <c r="K99">
        <v>194.2</v>
      </c>
      <c r="L99" s="16">
        <v>0.43134259259259261</v>
      </c>
      <c r="M99" t="s">
        <v>135</v>
      </c>
      <c r="N99" s="17">
        <v>1500000000000000</v>
      </c>
      <c r="O99" t="s">
        <v>130</v>
      </c>
      <c r="Q99" t="s">
        <v>136</v>
      </c>
      <c r="R99" t="s">
        <v>145</v>
      </c>
      <c r="S99" t="s">
        <v>138</v>
      </c>
      <c r="T99">
        <v>0</v>
      </c>
      <c r="U99" t="s">
        <v>139</v>
      </c>
      <c r="V99">
        <v>191</v>
      </c>
      <c r="W99">
        <v>12415</v>
      </c>
      <c r="X99">
        <v>12623</v>
      </c>
    </row>
    <row r="100" spans="1:25">
      <c r="A100" t="s">
        <v>130</v>
      </c>
      <c r="B100" t="s">
        <v>81</v>
      </c>
      <c r="C100" t="s">
        <v>161</v>
      </c>
      <c r="D100" t="s">
        <v>82</v>
      </c>
      <c r="E100" t="s">
        <v>132</v>
      </c>
      <c r="F100" t="s">
        <v>133</v>
      </c>
      <c r="G100">
        <v>65</v>
      </c>
      <c r="H100">
        <v>65</v>
      </c>
      <c r="I100">
        <v>1210049603</v>
      </c>
      <c r="J100" t="s">
        <v>134</v>
      </c>
      <c r="K100">
        <v>194.2</v>
      </c>
      <c r="L100" s="16">
        <v>0.43133101851851852</v>
      </c>
      <c r="M100" t="s">
        <v>135</v>
      </c>
      <c r="N100" s="17">
        <v>1500000000000000</v>
      </c>
      <c r="O100" t="s">
        <v>130</v>
      </c>
      <c r="Q100" t="s">
        <v>136</v>
      </c>
      <c r="R100" t="s">
        <v>145</v>
      </c>
      <c r="S100" t="s">
        <v>138</v>
      </c>
      <c r="T100">
        <v>0</v>
      </c>
      <c r="U100" t="s">
        <v>139</v>
      </c>
      <c r="V100">
        <v>191.05</v>
      </c>
      <c r="W100">
        <v>12418.25</v>
      </c>
      <c r="X100">
        <v>12623</v>
      </c>
    </row>
    <row r="101" spans="1:25">
      <c r="A101" t="s">
        <v>130</v>
      </c>
      <c r="B101" t="s">
        <v>81</v>
      </c>
      <c r="C101" t="s">
        <v>161</v>
      </c>
      <c r="D101" t="s">
        <v>82</v>
      </c>
      <c r="E101" t="s">
        <v>132</v>
      </c>
      <c r="F101" t="s">
        <v>142</v>
      </c>
      <c r="G101">
        <v>65</v>
      </c>
      <c r="H101">
        <v>130</v>
      </c>
      <c r="I101">
        <v>1210049594</v>
      </c>
      <c r="J101" t="s">
        <v>134</v>
      </c>
      <c r="K101">
        <v>195.9</v>
      </c>
      <c r="L101" s="16">
        <v>0.41327546296296297</v>
      </c>
      <c r="M101" t="s">
        <v>135</v>
      </c>
      <c r="N101" s="17">
        <v>1500000000000000</v>
      </c>
      <c r="O101" t="s">
        <v>130</v>
      </c>
      <c r="Q101" t="s">
        <v>136</v>
      </c>
      <c r="R101" t="s">
        <v>145</v>
      </c>
      <c r="S101" t="s">
        <v>138</v>
      </c>
      <c r="T101">
        <v>0</v>
      </c>
      <c r="U101" t="s">
        <v>139</v>
      </c>
      <c r="V101">
        <v>199.45</v>
      </c>
      <c r="W101">
        <v>25928.5</v>
      </c>
      <c r="Y101">
        <v>25467</v>
      </c>
    </row>
    <row r="102" spans="1:25">
      <c r="A102" t="s">
        <v>130</v>
      </c>
      <c r="B102" t="s">
        <v>81</v>
      </c>
      <c r="C102" t="s">
        <v>161</v>
      </c>
      <c r="D102" t="s">
        <v>82</v>
      </c>
      <c r="E102" t="s">
        <v>132</v>
      </c>
      <c r="F102" t="s">
        <v>142</v>
      </c>
      <c r="G102">
        <v>65</v>
      </c>
      <c r="H102">
        <v>130</v>
      </c>
      <c r="I102">
        <v>1210049594</v>
      </c>
      <c r="J102" t="s">
        <v>134</v>
      </c>
      <c r="K102">
        <v>195.9</v>
      </c>
      <c r="L102" s="16">
        <v>0.41327546296296297</v>
      </c>
      <c r="M102" t="s">
        <v>140</v>
      </c>
      <c r="N102" s="17">
        <v>1500000000000000</v>
      </c>
      <c r="O102" t="s">
        <v>130</v>
      </c>
      <c r="Q102" t="s">
        <v>136</v>
      </c>
      <c r="R102" t="s">
        <v>145</v>
      </c>
      <c r="S102" t="s">
        <v>138</v>
      </c>
      <c r="T102">
        <v>65</v>
      </c>
      <c r="U102" t="s">
        <v>139</v>
      </c>
      <c r="V102">
        <v>199.45</v>
      </c>
      <c r="W102">
        <v>12964.25</v>
      </c>
      <c r="Y102">
        <v>25467</v>
      </c>
    </row>
    <row r="103" spans="1:25">
      <c r="A103" t="s">
        <v>130</v>
      </c>
      <c r="B103" t="s">
        <v>81</v>
      </c>
      <c r="C103" t="s">
        <v>157</v>
      </c>
      <c r="D103" t="s">
        <v>82</v>
      </c>
      <c r="E103" t="s">
        <v>132</v>
      </c>
      <c r="F103" t="s">
        <v>133</v>
      </c>
      <c r="G103">
        <v>65</v>
      </c>
      <c r="H103">
        <v>130</v>
      </c>
      <c r="I103">
        <v>1210049593</v>
      </c>
      <c r="J103" t="s">
        <v>134</v>
      </c>
      <c r="K103">
        <v>200.35</v>
      </c>
      <c r="L103" s="16">
        <v>0.41326388888888888</v>
      </c>
      <c r="M103" t="s">
        <v>135</v>
      </c>
      <c r="N103" s="17">
        <v>1600000000000000</v>
      </c>
      <c r="O103" t="s">
        <v>130</v>
      </c>
      <c r="Q103" t="s">
        <v>136</v>
      </c>
      <c r="R103" t="s">
        <v>145</v>
      </c>
      <c r="S103" t="s">
        <v>138</v>
      </c>
      <c r="T103">
        <v>0</v>
      </c>
      <c r="U103" t="s">
        <v>139</v>
      </c>
      <c r="V103">
        <v>196.8</v>
      </c>
      <c r="W103">
        <v>25584</v>
      </c>
      <c r="X103">
        <v>26045.5</v>
      </c>
    </row>
    <row r="104" spans="1:25">
      <c r="A104" t="s">
        <v>130</v>
      </c>
      <c r="B104" t="s">
        <v>81</v>
      </c>
      <c r="C104" t="s">
        <v>157</v>
      </c>
      <c r="D104" t="s">
        <v>82</v>
      </c>
      <c r="E104" t="s">
        <v>132</v>
      </c>
      <c r="F104" t="s">
        <v>133</v>
      </c>
      <c r="G104">
        <v>65</v>
      </c>
      <c r="H104">
        <v>130</v>
      </c>
      <c r="I104">
        <v>1210049593</v>
      </c>
      <c r="J104" t="s">
        <v>134</v>
      </c>
      <c r="K104">
        <v>200.35</v>
      </c>
      <c r="L104" s="16">
        <v>0.41326388888888888</v>
      </c>
      <c r="M104" t="s">
        <v>140</v>
      </c>
      <c r="N104" s="17">
        <v>1600000000000000</v>
      </c>
      <c r="O104" t="s">
        <v>130</v>
      </c>
      <c r="Q104" t="s">
        <v>136</v>
      </c>
      <c r="R104" t="s">
        <v>145</v>
      </c>
      <c r="S104" t="s">
        <v>138</v>
      </c>
      <c r="T104">
        <v>65</v>
      </c>
      <c r="U104" t="s">
        <v>139</v>
      </c>
      <c r="V104">
        <v>196.8</v>
      </c>
      <c r="W104">
        <v>12792</v>
      </c>
      <c r="X104">
        <v>26045.5</v>
      </c>
    </row>
    <row r="105" spans="1:25">
      <c r="A105" t="s">
        <v>130</v>
      </c>
      <c r="B105" t="s">
        <v>81</v>
      </c>
      <c r="C105" t="s">
        <v>158</v>
      </c>
      <c r="D105" t="s">
        <v>82</v>
      </c>
      <c r="E105" t="s">
        <v>132</v>
      </c>
      <c r="F105" t="s">
        <v>142</v>
      </c>
      <c r="G105">
        <v>65</v>
      </c>
      <c r="H105">
        <v>130</v>
      </c>
      <c r="I105">
        <v>1210049592</v>
      </c>
      <c r="J105" t="s">
        <v>134</v>
      </c>
      <c r="K105">
        <v>170.35</v>
      </c>
      <c r="L105" s="16">
        <v>0.41326388888888888</v>
      </c>
      <c r="M105" t="s">
        <v>135</v>
      </c>
      <c r="N105" s="17">
        <v>1600000000000000</v>
      </c>
      <c r="O105" t="s">
        <v>130</v>
      </c>
      <c r="Q105" t="s">
        <v>136</v>
      </c>
      <c r="R105" t="s">
        <v>145</v>
      </c>
      <c r="S105" t="s">
        <v>138</v>
      </c>
      <c r="T105">
        <v>0</v>
      </c>
      <c r="U105" t="s">
        <v>139</v>
      </c>
      <c r="V105">
        <v>173.45</v>
      </c>
      <c r="W105">
        <v>22548.5</v>
      </c>
      <c r="Y105">
        <v>22145.5</v>
      </c>
    </row>
    <row r="106" spans="1:25">
      <c r="A106" t="s">
        <v>130</v>
      </c>
      <c r="B106" t="s">
        <v>81</v>
      </c>
      <c r="C106" t="s">
        <v>158</v>
      </c>
      <c r="D106" t="s">
        <v>82</v>
      </c>
      <c r="E106" t="s">
        <v>132</v>
      </c>
      <c r="F106" t="s">
        <v>142</v>
      </c>
      <c r="G106">
        <v>65</v>
      </c>
      <c r="H106">
        <v>130</v>
      </c>
      <c r="I106">
        <v>1210049592</v>
      </c>
      <c r="J106" t="s">
        <v>134</v>
      </c>
      <c r="K106">
        <v>170.35</v>
      </c>
      <c r="L106" s="16">
        <v>0.41326388888888888</v>
      </c>
      <c r="M106" t="s">
        <v>140</v>
      </c>
      <c r="N106" s="17">
        <v>1600000000000000</v>
      </c>
      <c r="O106" t="s">
        <v>130</v>
      </c>
      <c r="Q106" t="s">
        <v>136</v>
      </c>
      <c r="R106" t="s">
        <v>145</v>
      </c>
      <c r="S106" t="s">
        <v>138</v>
      </c>
      <c r="T106">
        <v>65</v>
      </c>
      <c r="U106" t="s">
        <v>139</v>
      </c>
      <c r="V106">
        <v>173.45</v>
      </c>
      <c r="W106">
        <v>11274.25</v>
      </c>
      <c r="Y106">
        <v>22145.5</v>
      </c>
    </row>
    <row r="107" spans="1:25">
      <c r="A107" t="s">
        <v>130</v>
      </c>
      <c r="B107" t="s">
        <v>81</v>
      </c>
      <c r="C107" t="s">
        <v>160</v>
      </c>
      <c r="D107" t="s">
        <v>82</v>
      </c>
      <c r="E107" t="s">
        <v>132</v>
      </c>
      <c r="F107" t="s">
        <v>133</v>
      </c>
      <c r="G107">
        <v>130</v>
      </c>
      <c r="H107">
        <v>130</v>
      </c>
      <c r="I107">
        <v>1210049591</v>
      </c>
      <c r="J107" t="s">
        <v>134</v>
      </c>
      <c r="K107">
        <v>175.85</v>
      </c>
      <c r="L107" s="16">
        <v>0.41326388888888888</v>
      </c>
      <c r="M107" t="s">
        <v>135</v>
      </c>
      <c r="N107" s="17">
        <v>1500000000000000</v>
      </c>
      <c r="O107" t="s">
        <v>130</v>
      </c>
      <c r="Q107" t="s">
        <v>136</v>
      </c>
      <c r="R107" t="s">
        <v>145</v>
      </c>
      <c r="S107" t="s">
        <v>138</v>
      </c>
      <c r="T107">
        <v>0</v>
      </c>
      <c r="U107" t="s">
        <v>139</v>
      </c>
      <c r="V107">
        <v>172.9</v>
      </c>
      <c r="W107">
        <v>22477</v>
      </c>
      <c r="X107">
        <v>22860.5</v>
      </c>
    </row>
    <row r="108" spans="1:25">
      <c r="A108" t="s">
        <v>130</v>
      </c>
      <c r="B108" t="s">
        <v>81</v>
      </c>
      <c r="C108" t="s">
        <v>161</v>
      </c>
      <c r="D108" t="s">
        <v>82</v>
      </c>
      <c r="E108" t="s">
        <v>132</v>
      </c>
      <c r="F108" t="s">
        <v>142</v>
      </c>
      <c r="G108">
        <v>65</v>
      </c>
      <c r="H108">
        <v>65</v>
      </c>
      <c r="I108">
        <v>1210049584</v>
      </c>
      <c r="J108" t="s">
        <v>134</v>
      </c>
      <c r="K108">
        <v>190.65</v>
      </c>
      <c r="L108" s="16">
        <v>0.40285879629629628</v>
      </c>
      <c r="M108" t="s">
        <v>135</v>
      </c>
      <c r="N108" s="17">
        <v>1500000000000000</v>
      </c>
      <c r="O108" t="s">
        <v>130</v>
      </c>
      <c r="Q108" t="s">
        <v>136</v>
      </c>
      <c r="R108" t="s">
        <v>145</v>
      </c>
      <c r="S108" t="s">
        <v>138</v>
      </c>
      <c r="T108">
        <v>0</v>
      </c>
      <c r="U108" t="s">
        <v>139</v>
      </c>
      <c r="V108">
        <v>194.5</v>
      </c>
      <c r="W108">
        <v>12642.5</v>
      </c>
      <c r="Y108">
        <v>12392.25</v>
      </c>
    </row>
    <row r="109" spans="1:25">
      <c r="A109" t="s">
        <v>130</v>
      </c>
      <c r="B109" t="s">
        <v>81</v>
      </c>
      <c r="C109" t="s">
        <v>160</v>
      </c>
      <c r="D109" t="s">
        <v>82</v>
      </c>
      <c r="E109" t="s">
        <v>132</v>
      </c>
      <c r="F109" t="s">
        <v>133</v>
      </c>
      <c r="G109">
        <v>65</v>
      </c>
      <c r="H109">
        <v>65</v>
      </c>
      <c r="I109">
        <v>1210049583</v>
      </c>
      <c r="J109" t="s">
        <v>134</v>
      </c>
      <c r="K109">
        <v>184.15</v>
      </c>
      <c r="L109" s="16">
        <v>0.40284722222222225</v>
      </c>
      <c r="M109" t="s">
        <v>135</v>
      </c>
      <c r="N109" s="17">
        <v>1500000000000000</v>
      </c>
      <c r="O109" t="s">
        <v>130</v>
      </c>
      <c r="Q109" t="s">
        <v>136</v>
      </c>
      <c r="R109" t="s">
        <v>145</v>
      </c>
      <c r="S109" t="s">
        <v>138</v>
      </c>
      <c r="T109">
        <v>0</v>
      </c>
      <c r="U109" t="s">
        <v>139</v>
      </c>
      <c r="V109">
        <v>180.7</v>
      </c>
      <c r="W109">
        <v>11745.5</v>
      </c>
      <c r="X109">
        <v>11969.75</v>
      </c>
    </row>
    <row r="110" spans="1:25">
      <c r="A110" t="s">
        <v>130</v>
      </c>
      <c r="B110" t="s">
        <v>81</v>
      </c>
      <c r="C110" t="s">
        <v>161</v>
      </c>
      <c r="D110" t="s">
        <v>82</v>
      </c>
      <c r="E110" t="s">
        <v>132</v>
      </c>
      <c r="F110" t="s">
        <v>142</v>
      </c>
      <c r="G110">
        <v>65</v>
      </c>
      <c r="H110">
        <v>65</v>
      </c>
      <c r="I110">
        <v>1210049582</v>
      </c>
      <c r="J110" t="s">
        <v>134</v>
      </c>
      <c r="K110">
        <v>191.2</v>
      </c>
      <c r="L110" s="16">
        <v>0.40284722222222225</v>
      </c>
      <c r="M110" t="s">
        <v>135</v>
      </c>
      <c r="N110" s="17">
        <v>1500000000000000</v>
      </c>
      <c r="O110" t="s">
        <v>130</v>
      </c>
      <c r="Q110" t="s">
        <v>136</v>
      </c>
      <c r="R110" t="s">
        <v>145</v>
      </c>
      <c r="S110" t="s">
        <v>138</v>
      </c>
      <c r="T110">
        <v>0</v>
      </c>
      <c r="U110" t="s">
        <v>139</v>
      </c>
      <c r="V110">
        <v>194.55</v>
      </c>
      <c r="W110">
        <v>12645.75</v>
      </c>
      <c r="Y110">
        <v>12428</v>
      </c>
    </row>
    <row r="111" spans="1:25">
      <c r="A111" t="s">
        <v>130</v>
      </c>
      <c r="B111" t="s">
        <v>81</v>
      </c>
      <c r="C111" t="s">
        <v>160</v>
      </c>
      <c r="D111" t="s">
        <v>82</v>
      </c>
      <c r="E111" t="s">
        <v>132</v>
      </c>
      <c r="F111" t="s">
        <v>133</v>
      </c>
      <c r="G111">
        <v>65</v>
      </c>
      <c r="H111">
        <v>65</v>
      </c>
      <c r="I111">
        <v>1210049581</v>
      </c>
      <c r="J111" t="s">
        <v>134</v>
      </c>
      <c r="K111">
        <v>184.15</v>
      </c>
      <c r="L111" s="16">
        <v>0.40283564814814815</v>
      </c>
      <c r="M111" t="s">
        <v>135</v>
      </c>
      <c r="N111" s="17">
        <v>1500000000000000</v>
      </c>
      <c r="O111" t="s">
        <v>130</v>
      </c>
      <c r="Q111" t="s">
        <v>136</v>
      </c>
      <c r="R111" t="s">
        <v>145</v>
      </c>
      <c r="S111" t="s">
        <v>138</v>
      </c>
      <c r="T111">
        <v>0</v>
      </c>
      <c r="U111" t="s">
        <v>139</v>
      </c>
      <c r="V111">
        <v>180.4</v>
      </c>
      <c r="W111">
        <v>11726</v>
      </c>
      <c r="X111">
        <v>11969.75</v>
      </c>
    </row>
    <row r="112" spans="1:25">
      <c r="A112" t="s">
        <v>130</v>
      </c>
      <c r="B112" t="s">
        <v>81</v>
      </c>
      <c r="C112" t="s">
        <v>160</v>
      </c>
      <c r="D112" t="s">
        <v>82</v>
      </c>
      <c r="E112" t="s">
        <v>132</v>
      </c>
      <c r="F112" t="s">
        <v>142</v>
      </c>
      <c r="G112">
        <v>130</v>
      </c>
      <c r="H112">
        <v>130</v>
      </c>
      <c r="I112">
        <v>1210066917</v>
      </c>
      <c r="J112" t="s">
        <v>134</v>
      </c>
      <c r="K112">
        <v>190</v>
      </c>
      <c r="L112" s="16">
        <v>0.39796296296296296</v>
      </c>
      <c r="M112" t="s">
        <v>135</v>
      </c>
      <c r="N112" s="17">
        <v>1500000000000000</v>
      </c>
      <c r="O112" t="s">
        <v>130</v>
      </c>
      <c r="Q112" t="s">
        <v>136</v>
      </c>
      <c r="R112" t="s">
        <v>137</v>
      </c>
      <c r="S112" t="s">
        <v>138</v>
      </c>
      <c r="T112">
        <v>0</v>
      </c>
      <c r="U112" t="s">
        <v>139</v>
      </c>
      <c r="V112">
        <v>190.05</v>
      </c>
      <c r="W112">
        <v>24706.5</v>
      </c>
      <c r="Y112">
        <v>24700</v>
      </c>
    </row>
    <row r="113" spans="1:25">
      <c r="A113" t="s">
        <v>130</v>
      </c>
      <c r="B113" t="s">
        <v>81</v>
      </c>
      <c r="C113" t="s">
        <v>161</v>
      </c>
      <c r="D113" t="s">
        <v>82</v>
      </c>
      <c r="E113" t="s">
        <v>132</v>
      </c>
      <c r="F113" t="s">
        <v>133</v>
      </c>
      <c r="G113">
        <v>65</v>
      </c>
      <c r="H113">
        <v>65</v>
      </c>
      <c r="I113">
        <v>1210049579</v>
      </c>
      <c r="J113" t="s">
        <v>134</v>
      </c>
      <c r="K113">
        <v>192.15</v>
      </c>
      <c r="L113" s="16">
        <v>0.39795138888888887</v>
      </c>
      <c r="M113" t="s">
        <v>135</v>
      </c>
      <c r="N113" s="17">
        <v>1500000000000000</v>
      </c>
      <c r="O113" t="s">
        <v>130</v>
      </c>
      <c r="Q113" t="s">
        <v>136</v>
      </c>
      <c r="R113" t="s">
        <v>145</v>
      </c>
      <c r="S113" t="s">
        <v>138</v>
      </c>
      <c r="T113">
        <v>0</v>
      </c>
      <c r="U113" t="s">
        <v>139</v>
      </c>
      <c r="V113">
        <v>188.65</v>
      </c>
      <c r="W113">
        <v>12262.25</v>
      </c>
      <c r="X113">
        <v>12489.75</v>
      </c>
    </row>
    <row r="114" spans="1:25">
      <c r="A114" t="s">
        <v>130</v>
      </c>
      <c r="B114" t="s">
        <v>81</v>
      </c>
      <c r="C114" t="s">
        <v>160</v>
      </c>
      <c r="D114" t="s">
        <v>82</v>
      </c>
      <c r="E114" t="s">
        <v>132</v>
      </c>
      <c r="F114" t="s">
        <v>142</v>
      </c>
      <c r="G114">
        <v>65</v>
      </c>
      <c r="H114">
        <v>65</v>
      </c>
      <c r="I114">
        <v>1210049578</v>
      </c>
      <c r="J114" t="s">
        <v>134</v>
      </c>
      <c r="K114">
        <v>186.7</v>
      </c>
      <c r="L114" s="16">
        <v>0.39795138888888887</v>
      </c>
      <c r="M114" t="s">
        <v>135</v>
      </c>
      <c r="N114" s="17">
        <v>1500000000000000</v>
      </c>
      <c r="O114" t="s">
        <v>130</v>
      </c>
      <c r="Q114" t="s">
        <v>136</v>
      </c>
      <c r="R114" t="s">
        <v>145</v>
      </c>
      <c r="S114" t="s">
        <v>138</v>
      </c>
      <c r="T114">
        <v>0</v>
      </c>
      <c r="U114" t="s">
        <v>139</v>
      </c>
      <c r="V114">
        <v>190.6</v>
      </c>
      <c r="W114">
        <v>12389</v>
      </c>
      <c r="Y114">
        <v>12135.5</v>
      </c>
    </row>
    <row r="115" spans="1:25">
      <c r="A115" t="s">
        <v>130</v>
      </c>
      <c r="B115" t="s">
        <v>81</v>
      </c>
      <c r="C115" t="s">
        <v>160</v>
      </c>
      <c r="D115" t="s">
        <v>82</v>
      </c>
      <c r="E115" t="s">
        <v>132</v>
      </c>
      <c r="F115" t="s">
        <v>142</v>
      </c>
      <c r="G115">
        <v>130</v>
      </c>
      <c r="H115">
        <v>130</v>
      </c>
      <c r="I115">
        <v>1210049577</v>
      </c>
      <c r="J115" t="s">
        <v>134</v>
      </c>
      <c r="K115">
        <v>177.85</v>
      </c>
      <c r="L115" s="16">
        <v>0.39241898148148147</v>
      </c>
      <c r="M115" t="s">
        <v>135</v>
      </c>
      <c r="N115" s="17">
        <v>1500000000000000</v>
      </c>
      <c r="O115" t="s">
        <v>130</v>
      </c>
      <c r="Q115" t="s">
        <v>136</v>
      </c>
      <c r="R115" t="s">
        <v>145</v>
      </c>
      <c r="S115" t="s">
        <v>138</v>
      </c>
      <c r="T115">
        <v>0</v>
      </c>
      <c r="U115" t="s">
        <v>139</v>
      </c>
      <c r="V115">
        <v>180.9</v>
      </c>
      <c r="W115">
        <v>23517</v>
      </c>
      <c r="Y115">
        <v>23120.5</v>
      </c>
    </row>
    <row r="116" spans="1:25">
      <c r="A116" t="s">
        <v>130</v>
      </c>
      <c r="B116" t="s">
        <v>81</v>
      </c>
      <c r="C116" t="s">
        <v>161</v>
      </c>
      <c r="D116" t="s">
        <v>82</v>
      </c>
      <c r="E116" t="s">
        <v>132</v>
      </c>
      <c r="F116" t="s">
        <v>133</v>
      </c>
      <c r="G116">
        <v>65</v>
      </c>
      <c r="H116">
        <v>130</v>
      </c>
      <c r="I116">
        <v>1210049576</v>
      </c>
      <c r="J116" t="s">
        <v>134</v>
      </c>
      <c r="K116">
        <v>204.4</v>
      </c>
      <c r="L116" s="16">
        <v>0.39241898148148147</v>
      </c>
      <c r="M116" t="s">
        <v>135</v>
      </c>
      <c r="N116" s="17">
        <v>1500000000000000</v>
      </c>
      <c r="O116" t="s">
        <v>130</v>
      </c>
      <c r="Q116" t="s">
        <v>136</v>
      </c>
      <c r="R116" t="s">
        <v>145</v>
      </c>
      <c r="S116" t="s">
        <v>138</v>
      </c>
      <c r="T116">
        <v>0</v>
      </c>
      <c r="U116" t="s">
        <v>139</v>
      </c>
      <c r="V116">
        <v>200.5</v>
      </c>
      <c r="W116">
        <v>26065</v>
      </c>
      <c r="X116">
        <v>26572</v>
      </c>
    </row>
    <row r="117" spans="1:25">
      <c r="A117" t="s">
        <v>130</v>
      </c>
      <c r="B117" t="s">
        <v>81</v>
      </c>
      <c r="C117" t="s">
        <v>161</v>
      </c>
      <c r="D117" t="s">
        <v>82</v>
      </c>
      <c r="E117" t="s">
        <v>132</v>
      </c>
      <c r="F117" t="s">
        <v>133</v>
      </c>
      <c r="G117">
        <v>65</v>
      </c>
      <c r="H117">
        <v>130</v>
      </c>
      <c r="I117">
        <v>1210049576</v>
      </c>
      <c r="J117" t="s">
        <v>134</v>
      </c>
      <c r="K117">
        <v>204.4</v>
      </c>
      <c r="L117" s="16">
        <v>0.39241898148148147</v>
      </c>
      <c r="M117" t="s">
        <v>140</v>
      </c>
      <c r="N117" s="17">
        <v>1500000000000000</v>
      </c>
      <c r="O117" t="s">
        <v>130</v>
      </c>
      <c r="Q117" t="s">
        <v>136</v>
      </c>
      <c r="R117" t="s">
        <v>145</v>
      </c>
      <c r="S117" t="s">
        <v>138</v>
      </c>
      <c r="T117">
        <v>65</v>
      </c>
      <c r="U117" t="s">
        <v>139</v>
      </c>
      <c r="V117">
        <v>200.5</v>
      </c>
      <c r="W117">
        <v>13032.5</v>
      </c>
      <c r="X117">
        <v>26572</v>
      </c>
    </row>
    <row r="118" spans="1:25">
      <c r="A118" t="s">
        <v>130</v>
      </c>
      <c r="B118" t="s">
        <v>81</v>
      </c>
      <c r="C118" t="s">
        <v>152</v>
      </c>
      <c r="D118" t="s">
        <v>82</v>
      </c>
      <c r="E118" t="s">
        <v>132</v>
      </c>
      <c r="F118" t="s">
        <v>133</v>
      </c>
      <c r="G118">
        <v>195</v>
      </c>
      <c r="H118">
        <v>195</v>
      </c>
      <c r="I118">
        <v>1210062050</v>
      </c>
      <c r="J118" t="s">
        <v>134</v>
      </c>
      <c r="K118">
        <v>22.05</v>
      </c>
      <c r="L118" s="16">
        <v>0.38973379629629629</v>
      </c>
      <c r="M118" t="s">
        <v>135</v>
      </c>
      <c r="N118" s="17">
        <v>1400000000000000</v>
      </c>
      <c r="O118" t="s">
        <v>130</v>
      </c>
      <c r="Q118" t="s">
        <v>136</v>
      </c>
      <c r="R118" t="s">
        <v>137</v>
      </c>
      <c r="S118" t="s">
        <v>138</v>
      </c>
      <c r="T118">
        <v>0</v>
      </c>
      <c r="U118" t="s">
        <v>139</v>
      </c>
      <c r="V118">
        <v>22</v>
      </c>
      <c r="W118">
        <v>4290</v>
      </c>
      <c r="X118">
        <v>4299.75</v>
      </c>
    </row>
    <row r="119" spans="1:25">
      <c r="A119" t="s">
        <v>130</v>
      </c>
      <c r="B119" t="s">
        <v>81</v>
      </c>
      <c r="C119" t="s">
        <v>163</v>
      </c>
      <c r="D119" t="s">
        <v>82</v>
      </c>
      <c r="E119" t="s">
        <v>132</v>
      </c>
      <c r="F119" t="s">
        <v>142</v>
      </c>
      <c r="G119">
        <v>130</v>
      </c>
      <c r="H119">
        <v>260</v>
      </c>
      <c r="I119">
        <v>1210062011</v>
      </c>
      <c r="J119" t="s">
        <v>134</v>
      </c>
      <c r="K119">
        <v>14.5</v>
      </c>
      <c r="L119" s="16">
        <v>0.3893402777777778</v>
      </c>
      <c r="M119" t="s">
        <v>135</v>
      </c>
      <c r="N119" s="17">
        <v>1500000000000000</v>
      </c>
      <c r="O119" t="s">
        <v>130</v>
      </c>
      <c r="Q119" t="s">
        <v>136</v>
      </c>
      <c r="R119" t="s">
        <v>137</v>
      </c>
      <c r="S119" t="s">
        <v>138</v>
      </c>
      <c r="T119">
        <v>0</v>
      </c>
      <c r="U119" t="s">
        <v>139</v>
      </c>
      <c r="V119">
        <v>15</v>
      </c>
      <c r="W119">
        <v>3900</v>
      </c>
      <c r="Y119">
        <v>3770</v>
      </c>
    </row>
    <row r="120" spans="1:25">
      <c r="A120" t="s">
        <v>130</v>
      </c>
      <c r="B120" t="s">
        <v>81</v>
      </c>
      <c r="C120" t="s">
        <v>163</v>
      </c>
      <c r="D120" t="s">
        <v>82</v>
      </c>
      <c r="E120" t="s">
        <v>132</v>
      </c>
      <c r="F120" t="s">
        <v>142</v>
      </c>
      <c r="G120">
        <v>130</v>
      </c>
      <c r="H120">
        <v>260</v>
      </c>
      <c r="I120">
        <v>1210062011</v>
      </c>
      <c r="J120" t="s">
        <v>134</v>
      </c>
      <c r="K120">
        <v>14.5</v>
      </c>
      <c r="L120" s="16">
        <v>0.3893402777777778</v>
      </c>
      <c r="M120" t="s">
        <v>140</v>
      </c>
      <c r="N120" s="17">
        <v>1500000000000000</v>
      </c>
      <c r="O120" t="s">
        <v>130</v>
      </c>
      <c r="Q120" t="s">
        <v>136</v>
      </c>
      <c r="R120" t="s">
        <v>137</v>
      </c>
      <c r="S120" t="s">
        <v>138</v>
      </c>
      <c r="T120">
        <v>130</v>
      </c>
      <c r="U120" t="s">
        <v>139</v>
      </c>
      <c r="V120">
        <v>15</v>
      </c>
      <c r="W120">
        <v>1950</v>
      </c>
      <c r="Y120">
        <v>3770</v>
      </c>
    </row>
    <row r="121" spans="1:25">
      <c r="A121" t="s">
        <v>130</v>
      </c>
      <c r="B121" t="s">
        <v>81</v>
      </c>
      <c r="C121" t="s">
        <v>143</v>
      </c>
      <c r="D121" t="s">
        <v>82</v>
      </c>
      <c r="E121" t="s">
        <v>132</v>
      </c>
      <c r="F121" t="s">
        <v>142</v>
      </c>
      <c r="G121">
        <v>195</v>
      </c>
      <c r="H121">
        <v>195</v>
      </c>
      <c r="I121">
        <v>1210055580</v>
      </c>
      <c r="J121" t="s">
        <v>134</v>
      </c>
      <c r="K121">
        <v>19.899999999999999</v>
      </c>
      <c r="L121" s="16">
        <v>0.3865277777777778</v>
      </c>
      <c r="M121" t="s">
        <v>135</v>
      </c>
      <c r="N121" s="17">
        <v>1500000000000000</v>
      </c>
      <c r="O121" t="s">
        <v>130</v>
      </c>
      <c r="Q121" t="s">
        <v>136</v>
      </c>
      <c r="R121" t="s">
        <v>137</v>
      </c>
      <c r="S121" t="s">
        <v>138</v>
      </c>
      <c r="T121">
        <v>0</v>
      </c>
      <c r="U121" t="s">
        <v>139</v>
      </c>
      <c r="V121">
        <v>20.25</v>
      </c>
      <c r="W121">
        <v>3948.75</v>
      </c>
      <c r="Y121">
        <v>3880.5</v>
      </c>
    </row>
    <row r="122" spans="1:25">
      <c r="A122" t="s">
        <v>130</v>
      </c>
      <c r="B122" t="s">
        <v>81</v>
      </c>
      <c r="C122" t="s">
        <v>143</v>
      </c>
      <c r="D122" t="s">
        <v>82</v>
      </c>
      <c r="E122" t="s">
        <v>132</v>
      </c>
      <c r="F122" t="s">
        <v>142</v>
      </c>
      <c r="G122">
        <v>650</v>
      </c>
      <c r="H122">
        <v>650</v>
      </c>
      <c r="I122">
        <v>1210054550</v>
      </c>
      <c r="J122" t="s">
        <v>134</v>
      </c>
      <c r="K122">
        <v>19.95</v>
      </c>
      <c r="L122" s="16">
        <v>0.38633101851851853</v>
      </c>
      <c r="M122" t="s">
        <v>135</v>
      </c>
      <c r="N122" s="17">
        <v>1500000000000000</v>
      </c>
      <c r="O122" t="s">
        <v>130</v>
      </c>
      <c r="Q122" t="s">
        <v>136</v>
      </c>
      <c r="R122" t="s">
        <v>137</v>
      </c>
      <c r="S122" t="s">
        <v>138</v>
      </c>
      <c r="T122">
        <v>0</v>
      </c>
      <c r="U122" t="s">
        <v>139</v>
      </c>
      <c r="V122">
        <v>19.95</v>
      </c>
      <c r="W122">
        <v>12967.5</v>
      </c>
      <c r="Y122">
        <v>12967.5</v>
      </c>
    </row>
    <row r="123" spans="1:25">
      <c r="A123" t="s">
        <v>130</v>
      </c>
      <c r="B123" t="s">
        <v>81</v>
      </c>
      <c r="C123" t="s">
        <v>143</v>
      </c>
      <c r="D123" t="s">
        <v>82</v>
      </c>
      <c r="E123" t="s">
        <v>132</v>
      </c>
      <c r="F123" t="s">
        <v>133</v>
      </c>
      <c r="G123">
        <v>65</v>
      </c>
      <c r="H123">
        <v>520</v>
      </c>
      <c r="I123">
        <v>1210041527</v>
      </c>
      <c r="J123" t="s">
        <v>134</v>
      </c>
      <c r="K123">
        <v>20.399999999999999</v>
      </c>
      <c r="L123" s="16">
        <v>0.38600694444444444</v>
      </c>
      <c r="M123" t="s">
        <v>135</v>
      </c>
      <c r="N123" s="17">
        <v>1500000000000000</v>
      </c>
      <c r="O123" t="s">
        <v>130</v>
      </c>
      <c r="Q123" t="s">
        <v>136</v>
      </c>
      <c r="R123" t="s">
        <v>137</v>
      </c>
      <c r="S123" t="s">
        <v>138</v>
      </c>
      <c r="T123">
        <v>0</v>
      </c>
      <c r="U123" t="s">
        <v>139</v>
      </c>
      <c r="V123">
        <v>20.399999999999999</v>
      </c>
      <c r="W123">
        <v>10608</v>
      </c>
      <c r="X123">
        <v>10608</v>
      </c>
    </row>
    <row r="124" spans="1:25">
      <c r="A124" t="s">
        <v>130</v>
      </c>
      <c r="B124" t="s">
        <v>81</v>
      </c>
      <c r="C124" t="s">
        <v>143</v>
      </c>
      <c r="D124" t="s">
        <v>82</v>
      </c>
      <c r="E124" t="s">
        <v>132</v>
      </c>
      <c r="F124" t="s">
        <v>133</v>
      </c>
      <c r="G124">
        <v>195</v>
      </c>
      <c r="H124">
        <v>520</v>
      </c>
      <c r="I124">
        <v>1210041527</v>
      </c>
      <c r="J124" t="s">
        <v>134</v>
      </c>
      <c r="K124">
        <v>20.399999999999999</v>
      </c>
      <c r="L124" s="16">
        <v>0.38600694444444444</v>
      </c>
      <c r="M124" t="s">
        <v>140</v>
      </c>
      <c r="N124" s="17">
        <v>1500000000000000</v>
      </c>
      <c r="O124" t="s">
        <v>130</v>
      </c>
      <c r="Q124" t="s">
        <v>136</v>
      </c>
      <c r="R124" t="s">
        <v>137</v>
      </c>
      <c r="S124" t="s">
        <v>138</v>
      </c>
      <c r="T124">
        <v>65</v>
      </c>
      <c r="U124" t="s">
        <v>139</v>
      </c>
      <c r="V124">
        <v>20.399999999999999</v>
      </c>
      <c r="W124">
        <v>9282</v>
      </c>
      <c r="X124">
        <v>10608</v>
      </c>
    </row>
    <row r="125" spans="1:25">
      <c r="A125" t="s">
        <v>130</v>
      </c>
      <c r="B125" t="s">
        <v>81</v>
      </c>
      <c r="C125" t="s">
        <v>143</v>
      </c>
      <c r="D125" t="s">
        <v>82</v>
      </c>
      <c r="E125" t="s">
        <v>132</v>
      </c>
      <c r="F125" t="s">
        <v>133</v>
      </c>
      <c r="G125">
        <v>130</v>
      </c>
      <c r="H125">
        <v>520</v>
      </c>
      <c r="I125">
        <v>1210041527</v>
      </c>
      <c r="J125" t="s">
        <v>134</v>
      </c>
      <c r="K125">
        <v>20.399999999999999</v>
      </c>
      <c r="L125" s="16">
        <v>0.38600694444444444</v>
      </c>
      <c r="M125" t="s">
        <v>140</v>
      </c>
      <c r="N125" s="17">
        <v>1500000000000000</v>
      </c>
      <c r="O125" t="s">
        <v>130</v>
      </c>
      <c r="Q125" t="s">
        <v>136</v>
      </c>
      <c r="R125" t="s">
        <v>137</v>
      </c>
      <c r="S125" t="s">
        <v>138</v>
      </c>
      <c r="T125">
        <v>260</v>
      </c>
      <c r="U125" t="s">
        <v>139</v>
      </c>
      <c r="V125">
        <v>20.399999999999999</v>
      </c>
      <c r="W125">
        <v>5304</v>
      </c>
      <c r="X125">
        <v>10608</v>
      </c>
    </row>
    <row r="126" spans="1:25">
      <c r="A126" t="s">
        <v>130</v>
      </c>
      <c r="B126" t="s">
        <v>81</v>
      </c>
      <c r="C126" t="s">
        <v>143</v>
      </c>
      <c r="D126" t="s">
        <v>82</v>
      </c>
      <c r="E126" t="s">
        <v>132</v>
      </c>
      <c r="F126" t="s">
        <v>133</v>
      </c>
      <c r="G126">
        <v>130</v>
      </c>
      <c r="H126">
        <v>520</v>
      </c>
      <c r="I126">
        <v>1210041527</v>
      </c>
      <c r="J126" t="s">
        <v>134</v>
      </c>
      <c r="K126">
        <v>20.399999999999999</v>
      </c>
      <c r="L126" s="16">
        <v>0.38600694444444444</v>
      </c>
      <c r="M126" t="s">
        <v>140</v>
      </c>
      <c r="N126" s="17">
        <v>1500000000000000</v>
      </c>
      <c r="O126" t="s">
        <v>130</v>
      </c>
      <c r="Q126" t="s">
        <v>136</v>
      </c>
      <c r="R126" t="s">
        <v>137</v>
      </c>
      <c r="S126" t="s">
        <v>138</v>
      </c>
      <c r="T126">
        <v>390</v>
      </c>
      <c r="U126" t="s">
        <v>139</v>
      </c>
      <c r="V126">
        <v>20.399999999999999</v>
      </c>
      <c r="W126">
        <v>2652</v>
      </c>
      <c r="X126">
        <v>10608</v>
      </c>
    </row>
    <row r="127" spans="1:25">
      <c r="A127" t="s">
        <v>130</v>
      </c>
      <c r="B127" t="s">
        <v>81</v>
      </c>
      <c r="C127" t="s">
        <v>143</v>
      </c>
      <c r="D127" t="s">
        <v>82</v>
      </c>
      <c r="E127" t="s">
        <v>132</v>
      </c>
      <c r="F127" t="s">
        <v>142</v>
      </c>
      <c r="G127">
        <v>65</v>
      </c>
      <c r="H127">
        <v>260</v>
      </c>
      <c r="I127">
        <v>1210035495</v>
      </c>
      <c r="J127" t="s">
        <v>134</v>
      </c>
      <c r="K127">
        <v>19.2</v>
      </c>
      <c r="L127" s="16">
        <v>0.38560185185185186</v>
      </c>
      <c r="M127" t="s">
        <v>135</v>
      </c>
      <c r="N127" s="17">
        <v>1500000000000000</v>
      </c>
      <c r="O127" t="s">
        <v>130</v>
      </c>
      <c r="Q127" t="s">
        <v>136</v>
      </c>
      <c r="R127" t="s">
        <v>137</v>
      </c>
      <c r="S127" t="s">
        <v>138</v>
      </c>
      <c r="T127">
        <v>0</v>
      </c>
      <c r="U127" t="s">
        <v>139</v>
      </c>
      <c r="V127">
        <v>19.399999999999999</v>
      </c>
      <c r="W127">
        <v>5044</v>
      </c>
      <c r="Y127">
        <v>4992</v>
      </c>
    </row>
    <row r="128" spans="1:25">
      <c r="A128" t="s">
        <v>130</v>
      </c>
      <c r="B128" t="s">
        <v>81</v>
      </c>
      <c r="C128" t="s">
        <v>143</v>
      </c>
      <c r="D128" t="s">
        <v>82</v>
      </c>
      <c r="E128" t="s">
        <v>132</v>
      </c>
      <c r="F128" t="s">
        <v>142</v>
      </c>
      <c r="G128">
        <v>130</v>
      </c>
      <c r="H128">
        <v>260</v>
      </c>
      <c r="I128">
        <v>1210035495</v>
      </c>
      <c r="J128" t="s">
        <v>134</v>
      </c>
      <c r="K128">
        <v>19.2</v>
      </c>
      <c r="L128" s="16">
        <v>0.38560185185185186</v>
      </c>
      <c r="M128" t="s">
        <v>140</v>
      </c>
      <c r="N128" s="17">
        <v>1500000000000000</v>
      </c>
      <c r="O128" t="s">
        <v>130</v>
      </c>
      <c r="Q128" t="s">
        <v>136</v>
      </c>
      <c r="R128" t="s">
        <v>137</v>
      </c>
      <c r="S128" t="s">
        <v>138</v>
      </c>
      <c r="T128">
        <v>65</v>
      </c>
      <c r="U128" t="s">
        <v>139</v>
      </c>
      <c r="V128">
        <v>19.399999999999999</v>
      </c>
      <c r="W128">
        <v>3783</v>
      </c>
      <c r="Y128">
        <v>4992</v>
      </c>
    </row>
    <row r="129" spans="1:25">
      <c r="A129" t="s">
        <v>130</v>
      </c>
      <c r="B129" t="s">
        <v>81</v>
      </c>
      <c r="C129" t="s">
        <v>143</v>
      </c>
      <c r="D129" t="s">
        <v>82</v>
      </c>
      <c r="E129" t="s">
        <v>132</v>
      </c>
      <c r="F129" t="s">
        <v>142</v>
      </c>
      <c r="G129">
        <v>65</v>
      </c>
      <c r="H129">
        <v>260</v>
      </c>
      <c r="I129">
        <v>1210035495</v>
      </c>
      <c r="J129" t="s">
        <v>134</v>
      </c>
      <c r="K129">
        <v>19.2</v>
      </c>
      <c r="L129" s="16">
        <v>0.38560185185185186</v>
      </c>
      <c r="M129" t="s">
        <v>140</v>
      </c>
      <c r="N129" s="17">
        <v>1500000000000000</v>
      </c>
      <c r="O129" t="s">
        <v>130</v>
      </c>
      <c r="Q129" t="s">
        <v>136</v>
      </c>
      <c r="R129" t="s">
        <v>137</v>
      </c>
      <c r="S129" t="s">
        <v>138</v>
      </c>
      <c r="T129">
        <v>195</v>
      </c>
      <c r="U129" t="s">
        <v>139</v>
      </c>
      <c r="V129">
        <v>19.399999999999999</v>
      </c>
      <c r="W129">
        <v>1261</v>
      </c>
      <c r="Y129">
        <v>4992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15B3-72B1-4A46-89D2-EA47F73272D4}">
  <dimension ref="A1:AC474"/>
  <sheetViews>
    <sheetView topLeftCell="B1" workbookViewId="0">
      <selection activeCell="AA2" sqref="AA2:AC2"/>
    </sheetView>
  </sheetViews>
  <sheetFormatPr defaultRowHeight="15"/>
  <cols>
    <col min="2" max="2" width="10.5703125" bestFit="1" customWidth="1"/>
  </cols>
  <sheetData>
    <row r="1" spans="1:29" ht="63.7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58</v>
      </c>
      <c r="G1" t="s">
        <v>170</v>
      </c>
      <c r="H1" t="s">
        <v>171</v>
      </c>
      <c r="I1" t="s">
        <v>13</v>
      </c>
      <c r="J1" t="s">
        <v>78</v>
      </c>
      <c r="K1" t="s">
        <v>60</v>
      </c>
      <c r="L1" t="s">
        <v>77</v>
      </c>
      <c r="M1" t="s">
        <v>57</v>
      </c>
      <c r="N1" t="s">
        <v>62</v>
      </c>
      <c r="O1" t="s">
        <v>76</v>
      </c>
      <c r="P1" t="s">
        <v>61</v>
      </c>
      <c r="Q1" t="s">
        <v>79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9</v>
      </c>
      <c r="X1" s="8" t="s">
        <v>19</v>
      </c>
      <c r="Y1" s="8" t="s">
        <v>11</v>
      </c>
      <c r="Z1" s="8" t="s">
        <v>12</v>
      </c>
      <c r="AA1" s="8" t="s">
        <v>20</v>
      </c>
      <c r="AB1" s="8" t="s">
        <v>21</v>
      </c>
      <c r="AC1" s="8" t="s">
        <v>22</v>
      </c>
    </row>
    <row r="2" spans="1:29">
      <c r="A2" t="s">
        <v>39</v>
      </c>
      <c r="B2" s="15">
        <v>46259</v>
      </c>
      <c r="C2">
        <v>24400</v>
      </c>
      <c r="D2" t="s">
        <v>88</v>
      </c>
      <c r="E2">
        <v>-650</v>
      </c>
      <c r="F2">
        <v>139.19999999999999</v>
      </c>
      <c r="G2">
        <v>135248.75</v>
      </c>
      <c r="H2">
        <v>246489.75</v>
      </c>
      <c r="I2">
        <v>845</v>
      </c>
      <c r="J2">
        <v>13</v>
      </c>
      <c r="K2">
        <v>160.06</v>
      </c>
      <c r="L2">
        <v>-10</v>
      </c>
      <c r="M2">
        <v>20761</v>
      </c>
      <c r="N2">
        <v>164.88</v>
      </c>
      <c r="O2">
        <v>65</v>
      </c>
      <c r="P2">
        <v>1495</v>
      </c>
      <c r="Q2">
        <v>23</v>
      </c>
      <c r="R2" s="10">
        <f>E2*F2</f>
        <v>-90479.999999999985</v>
      </c>
      <c r="S2" s="10">
        <f>SUM($G$31:G500)</f>
        <v>13910</v>
      </c>
      <c r="T2" s="2">
        <f>SUMIFS(INDEX($A$2:$AF$29,0,MATCH("NETQTY",$A$1:$AF$1,0)),INDEX($A$2:$AF$29,0,MATCH("OPTION TYPE",$A$1:$AF$1,0)),"PE",INDEX($A$2:$AF$29,0,MATCH("NETQTY",$A$1:$AF$1,0)),"&lt;0")</f>
        <v>-975</v>
      </c>
      <c r="U2" s="2">
        <f>SUMIFS(INDEX($A$2:$AF$29,0,MATCH("NETQTY",$A$1:$AF$1,0)),INDEX($A$2:$AF$29,0,MATCH("OPTION TYPE",$A$1:$AF$1,0)),"PE",INDEX($A$2:$AF$29,0,MATCH("NETQTY",$A$1:$AF$1,0)),"&gt;0")</f>
        <v>1430</v>
      </c>
      <c r="V2" s="2">
        <f>SUMIFS(INDEX($A$2:$AF$29,0,MATCH("NETQTY",$A$1:$AF$1,0)),INDEX($A$2:$AF$29,0,MATCH("OPTION TYPE",$A$1:$AF$1,0)),"CE",INDEX($A$2:$AF$29,0,MATCH("NETQTY",$A$1:$AF$1,0)),"&lt;0")</f>
        <v>-455</v>
      </c>
      <c r="W2" s="2">
        <f>SUMIFS(INDEX($A$2:$AF$29,0,MATCH("NETQTY",$A$1:$AF$1,0)),INDEX($A$2:$AF$29,0,MATCH("OPTION TYPE",$A$1:$AF$1,0)),"CE",INDEX($A$2:$AF$29,0,MATCH("NETQTY",$A$1:$AF$1,0)),"&gt;0")</f>
        <v>650</v>
      </c>
      <c r="X2" s="2">
        <f>T2+U2+V2+W2</f>
        <v>650</v>
      </c>
      <c r="Y2" s="5">
        <f>ABS(U2)/T2</f>
        <v>-1.4666666666666666</v>
      </c>
      <c r="Z2" s="5">
        <f>ABS(W2)/V2</f>
        <v>-1.4285714285714286</v>
      </c>
      <c r="AA2" s="2" cm="1">
        <f t="array" ref="AA2">SUMPRODUCT((INDEX($A$2:$AF$29,0,MATCH("OPTION TYPE",$A$1:$AF$1,0))="PE")*(INDEX($A$2:$AF$29,0,MATCH("NETQTY",$A$1:$AF$1,0))*INDEX($A$2:$AF$29,0,MATCH("LastTradePrice",$A$1:$AF$1,0))&lt;0)*INDEX($A$2:$AF$29,0,MATCH("NETQTY",$A$1:$AF$1,0))*INDEX($A$2:$AF$29,0,MATCH("LastTradePrice",$A$1:$AF$1,0)))</f>
        <v>-140959</v>
      </c>
      <c r="AB2" s="2" cm="1">
        <f t="array" ref="AB2">SUMPRODUCT((INDEX($A$2:$AF$29,0,MATCH("OPTION TYPE",$A$1:$AF$1,0))="CE")*(INDEX($A$2:$AF$29,0,MATCH("NETQTY",$A$1:$AF$1,0))*INDEX($A$2:$AF$29,0,MATCH("LastTradePrice",$A$1:$AF$1,0))&lt;0)*INDEX($A$2:$AF$29,0,MATCH("NETQTY",$A$1:$AF$1,0))*INDEX($A$2:$AF$29,0,MATCH("LastTradePrice",$A$1:$AF$1,0)))</f>
        <v>-74542</v>
      </c>
      <c r="AC2" s="2">
        <f>ABS(AA2+AB2)</f>
        <v>215501</v>
      </c>
    </row>
    <row r="3" spans="1:29">
      <c r="A3" t="s">
        <v>39</v>
      </c>
      <c r="B3" s="15">
        <v>46259</v>
      </c>
      <c r="C3">
        <v>24400</v>
      </c>
      <c r="D3" t="s">
        <v>83</v>
      </c>
      <c r="E3">
        <v>-260</v>
      </c>
      <c r="F3">
        <v>185.3</v>
      </c>
      <c r="G3">
        <v>134007.25</v>
      </c>
      <c r="H3">
        <v>197535</v>
      </c>
      <c r="I3">
        <v>845</v>
      </c>
      <c r="J3">
        <v>13</v>
      </c>
      <c r="K3">
        <v>158.59</v>
      </c>
      <c r="L3">
        <v>-4</v>
      </c>
      <c r="M3">
        <v>15349.75</v>
      </c>
      <c r="N3">
        <v>178.76</v>
      </c>
      <c r="O3">
        <v>65</v>
      </c>
      <c r="P3">
        <v>1105</v>
      </c>
      <c r="Q3">
        <v>17</v>
      </c>
      <c r="R3" s="10">
        <f t="shared" ref="R3:R16" si="0">E3*F3</f>
        <v>-48178</v>
      </c>
    </row>
    <row r="4" spans="1:29">
      <c r="A4" t="s">
        <v>39</v>
      </c>
      <c r="B4" s="15">
        <v>46259</v>
      </c>
      <c r="C4">
        <v>24500</v>
      </c>
      <c r="D4" t="s">
        <v>83</v>
      </c>
      <c r="E4">
        <v>-195</v>
      </c>
      <c r="F4">
        <v>135.19999999999999</v>
      </c>
      <c r="G4">
        <v>0</v>
      </c>
      <c r="H4">
        <v>28366</v>
      </c>
      <c r="I4">
        <v>0</v>
      </c>
      <c r="J4">
        <v>0</v>
      </c>
      <c r="K4">
        <v>0</v>
      </c>
      <c r="L4">
        <v>-3</v>
      </c>
      <c r="M4">
        <v>2002</v>
      </c>
      <c r="N4">
        <v>145.47</v>
      </c>
      <c r="O4">
        <v>65</v>
      </c>
      <c r="P4">
        <v>195</v>
      </c>
      <c r="Q4">
        <v>3</v>
      </c>
      <c r="R4" s="10">
        <f t="shared" si="0"/>
        <v>-26363.999999999996</v>
      </c>
    </row>
    <row r="5" spans="1:29">
      <c r="A5" t="s">
        <v>39</v>
      </c>
      <c r="B5" s="15">
        <v>46259</v>
      </c>
      <c r="C5">
        <v>24450</v>
      </c>
      <c r="D5" t="s">
        <v>88</v>
      </c>
      <c r="E5">
        <v>-130</v>
      </c>
      <c r="F5">
        <v>164</v>
      </c>
      <c r="G5">
        <v>20634.25</v>
      </c>
      <c r="H5">
        <v>41333.5</v>
      </c>
      <c r="I5">
        <v>130</v>
      </c>
      <c r="J5">
        <v>2</v>
      </c>
      <c r="K5">
        <v>158.72999999999999</v>
      </c>
      <c r="L5">
        <v>-2</v>
      </c>
      <c r="M5">
        <v>-620.75</v>
      </c>
      <c r="N5">
        <v>158.97999999999999</v>
      </c>
      <c r="O5">
        <v>65</v>
      </c>
      <c r="P5">
        <v>260</v>
      </c>
      <c r="Q5">
        <v>4</v>
      </c>
      <c r="R5" s="10">
        <f t="shared" si="0"/>
        <v>-21320</v>
      </c>
    </row>
    <row r="6" spans="1:29">
      <c r="A6" t="s">
        <v>39</v>
      </c>
      <c r="B6" s="15">
        <v>46252</v>
      </c>
      <c r="C6">
        <v>24500</v>
      </c>
      <c r="D6" t="s">
        <v>88</v>
      </c>
      <c r="E6">
        <v>-130</v>
      </c>
      <c r="F6">
        <v>130</v>
      </c>
      <c r="G6">
        <v>0</v>
      </c>
      <c r="H6">
        <v>17348.5</v>
      </c>
      <c r="I6">
        <v>0</v>
      </c>
      <c r="J6">
        <v>0</v>
      </c>
      <c r="K6">
        <v>0</v>
      </c>
      <c r="L6">
        <v>-2</v>
      </c>
      <c r="M6">
        <v>448.5</v>
      </c>
      <c r="N6">
        <v>133.44999999999999</v>
      </c>
      <c r="O6">
        <v>65</v>
      </c>
      <c r="P6">
        <v>130</v>
      </c>
      <c r="Q6">
        <v>2</v>
      </c>
      <c r="R6" s="10">
        <f t="shared" si="0"/>
        <v>-16900</v>
      </c>
    </row>
    <row r="7" spans="1:29">
      <c r="A7" t="s">
        <v>39</v>
      </c>
      <c r="B7" s="15">
        <v>46259</v>
      </c>
      <c r="C7">
        <v>24500</v>
      </c>
      <c r="D7" t="s">
        <v>88</v>
      </c>
      <c r="E7">
        <v>-65</v>
      </c>
      <c r="F7">
        <v>188.6</v>
      </c>
      <c r="G7">
        <v>0</v>
      </c>
      <c r="H7">
        <v>12376</v>
      </c>
      <c r="I7">
        <v>0</v>
      </c>
      <c r="J7">
        <v>0</v>
      </c>
      <c r="K7">
        <v>0</v>
      </c>
      <c r="L7">
        <v>-1</v>
      </c>
      <c r="M7">
        <v>117</v>
      </c>
      <c r="N7">
        <v>190.4</v>
      </c>
      <c r="O7">
        <v>65</v>
      </c>
      <c r="P7">
        <v>65</v>
      </c>
      <c r="Q7">
        <v>1</v>
      </c>
      <c r="R7" s="10">
        <f t="shared" si="0"/>
        <v>-12259</v>
      </c>
    </row>
    <row r="8" spans="1:29">
      <c r="A8" t="s">
        <v>39</v>
      </c>
      <c r="B8" s="15">
        <v>46252</v>
      </c>
      <c r="C8">
        <v>24600</v>
      </c>
      <c r="D8" t="s">
        <v>83</v>
      </c>
      <c r="E8">
        <v>0</v>
      </c>
      <c r="F8">
        <v>24.25</v>
      </c>
      <c r="G8">
        <v>6857.5</v>
      </c>
      <c r="H8">
        <v>8225.75</v>
      </c>
      <c r="I8">
        <v>325</v>
      </c>
      <c r="J8">
        <v>5</v>
      </c>
      <c r="K8">
        <v>21.1</v>
      </c>
      <c r="L8">
        <v>0</v>
      </c>
      <c r="M8">
        <v>1368.25</v>
      </c>
      <c r="N8">
        <v>25.31</v>
      </c>
      <c r="O8">
        <v>65</v>
      </c>
      <c r="P8">
        <v>325</v>
      </c>
      <c r="Q8">
        <v>5</v>
      </c>
      <c r="R8" s="10">
        <f t="shared" si="0"/>
        <v>0</v>
      </c>
    </row>
    <row r="9" spans="1:29">
      <c r="A9" t="s">
        <v>39</v>
      </c>
      <c r="B9" s="15">
        <v>46259</v>
      </c>
      <c r="C9">
        <v>24300</v>
      </c>
      <c r="D9" t="s">
        <v>88</v>
      </c>
      <c r="E9">
        <v>0</v>
      </c>
      <c r="F9">
        <v>101.9</v>
      </c>
      <c r="G9">
        <v>12954.5</v>
      </c>
      <c r="H9">
        <v>13871</v>
      </c>
      <c r="I9">
        <v>130</v>
      </c>
      <c r="J9">
        <v>2</v>
      </c>
      <c r="K9">
        <v>99.65</v>
      </c>
      <c r="L9">
        <v>0</v>
      </c>
      <c r="M9">
        <v>916.5</v>
      </c>
      <c r="N9">
        <v>106.7</v>
      </c>
      <c r="O9">
        <v>65</v>
      </c>
      <c r="P9">
        <v>130</v>
      </c>
      <c r="Q9">
        <v>2</v>
      </c>
      <c r="R9" s="10">
        <f t="shared" si="0"/>
        <v>0</v>
      </c>
    </row>
    <row r="10" spans="1:29">
      <c r="A10" t="s">
        <v>39</v>
      </c>
      <c r="B10" s="15">
        <v>46252</v>
      </c>
      <c r="C10">
        <v>24700</v>
      </c>
      <c r="D10" t="s">
        <v>83</v>
      </c>
      <c r="E10">
        <v>0</v>
      </c>
      <c r="F10">
        <v>10.4</v>
      </c>
      <c r="G10">
        <v>14371.5</v>
      </c>
      <c r="H10">
        <v>10117.25</v>
      </c>
      <c r="I10">
        <v>910</v>
      </c>
      <c r="J10">
        <v>14</v>
      </c>
      <c r="K10">
        <v>15.79</v>
      </c>
      <c r="L10">
        <v>0</v>
      </c>
      <c r="M10">
        <v>-4254.25</v>
      </c>
      <c r="N10">
        <v>11.12</v>
      </c>
      <c r="O10">
        <v>65</v>
      </c>
      <c r="P10">
        <v>910</v>
      </c>
      <c r="Q10">
        <v>14</v>
      </c>
      <c r="R10" s="10">
        <f t="shared" si="0"/>
        <v>0</v>
      </c>
    </row>
    <row r="11" spans="1:29">
      <c r="A11" t="s">
        <v>39</v>
      </c>
      <c r="B11" s="15">
        <v>46252</v>
      </c>
      <c r="C11">
        <v>24150</v>
      </c>
      <c r="D11" t="s">
        <v>88</v>
      </c>
      <c r="E11">
        <v>0</v>
      </c>
      <c r="F11">
        <v>13.9</v>
      </c>
      <c r="G11">
        <v>41733.25</v>
      </c>
      <c r="H11">
        <v>40927.25</v>
      </c>
      <c r="I11">
        <v>2210</v>
      </c>
      <c r="J11">
        <v>34</v>
      </c>
      <c r="K11">
        <v>18.88</v>
      </c>
      <c r="L11">
        <v>0</v>
      </c>
      <c r="M11">
        <v>-806</v>
      </c>
      <c r="N11">
        <v>18.52</v>
      </c>
      <c r="O11">
        <v>65</v>
      </c>
      <c r="P11">
        <v>2210</v>
      </c>
      <c r="Q11">
        <v>34</v>
      </c>
      <c r="R11" s="10">
        <f t="shared" si="0"/>
        <v>0</v>
      </c>
    </row>
    <row r="12" spans="1:29">
      <c r="A12" t="s">
        <v>39</v>
      </c>
      <c r="B12" s="15">
        <v>46252</v>
      </c>
      <c r="C12">
        <v>24100</v>
      </c>
      <c r="D12" t="s">
        <v>88</v>
      </c>
      <c r="E12">
        <v>0</v>
      </c>
      <c r="F12">
        <v>9.9</v>
      </c>
      <c r="G12">
        <v>19929</v>
      </c>
      <c r="H12">
        <v>13276.25</v>
      </c>
      <c r="I12">
        <v>975</v>
      </c>
      <c r="J12">
        <v>15</v>
      </c>
      <c r="K12">
        <v>20.440000000000001</v>
      </c>
      <c r="L12">
        <v>0</v>
      </c>
      <c r="M12">
        <v>-6652.75</v>
      </c>
      <c r="N12">
        <v>13.62</v>
      </c>
      <c r="O12">
        <v>65</v>
      </c>
      <c r="P12">
        <v>975</v>
      </c>
      <c r="Q12">
        <v>15</v>
      </c>
      <c r="R12" s="10">
        <f t="shared" si="0"/>
        <v>0</v>
      </c>
    </row>
    <row r="13" spans="1:29">
      <c r="A13" t="s">
        <v>39</v>
      </c>
      <c r="B13" s="15">
        <v>46259</v>
      </c>
      <c r="C13">
        <v>24450</v>
      </c>
      <c r="D13" t="s">
        <v>83</v>
      </c>
      <c r="E13">
        <v>0</v>
      </c>
      <c r="F13">
        <v>159.65</v>
      </c>
      <c r="G13">
        <v>21151</v>
      </c>
      <c r="H13">
        <v>21931</v>
      </c>
      <c r="I13">
        <v>130</v>
      </c>
      <c r="J13">
        <v>2</v>
      </c>
      <c r="K13">
        <v>162.69999999999999</v>
      </c>
      <c r="L13">
        <v>0</v>
      </c>
      <c r="M13">
        <v>780</v>
      </c>
      <c r="N13">
        <v>168.7</v>
      </c>
      <c r="O13">
        <v>65</v>
      </c>
      <c r="P13">
        <v>130</v>
      </c>
      <c r="Q13">
        <v>2</v>
      </c>
      <c r="R13" s="10">
        <f t="shared" si="0"/>
        <v>0</v>
      </c>
    </row>
    <row r="14" spans="1:29">
      <c r="A14" t="s">
        <v>39</v>
      </c>
      <c r="B14" s="15">
        <v>46252</v>
      </c>
      <c r="C14">
        <v>24200</v>
      </c>
      <c r="D14" t="s">
        <v>88</v>
      </c>
      <c r="E14">
        <v>585</v>
      </c>
      <c r="F14">
        <v>19.2</v>
      </c>
      <c r="G14">
        <v>10208.25</v>
      </c>
      <c r="H14">
        <v>0</v>
      </c>
      <c r="I14">
        <v>585</v>
      </c>
      <c r="J14">
        <v>9</v>
      </c>
      <c r="K14">
        <v>17.45</v>
      </c>
      <c r="L14">
        <v>9</v>
      </c>
      <c r="M14">
        <v>1023.75</v>
      </c>
      <c r="N14">
        <v>0</v>
      </c>
      <c r="O14">
        <v>65</v>
      </c>
      <c r="P14">
        <v>0</v>
      </c>
      <c r="Q14">
        <v>0</v>
      </c>
      <c r="R14" s="10">
        <f t="shared" si="0"/>
        <v>11232</v>
      </c>
    </row>
    <row r="15" spans="1:29">
      <c r="A15" t="s">
        <v>39</v>
      </c>
      <c r="B15" s="15">
        <v>46252</v>
      </c>
      <c r="C15">
        <v>24650</v>
      </c>
      <c r="D15" t="s">
        <v>83</v>
      </c>
      <c r="E15">
        <v>650</v>
      </c>
      <c r="F15">
        <v>15.95</v>
      </c>
      <c r="G15">
        <v>11982.75</v>
      </c>
      <c r="H15">
        <v>0</v>
      </c>
      <c r="I15">
        <v>650</v>
      </c>
      <c r="J15">
        <v>10</v>
      </c>
      <c r="K15">
        <v>18.440000000000001</v>
      </c>
      <c r="L15">
        <v>10</v>
      </c>
      <c r="M15">
        <v>-1615.25</v>
      </c>
      <c r="N15">
        <v>0</v>
      </c>
      <c r="O15">
        <v>65</v>
      </c>
      <c r="P15">
        <v>0</v>
      </c>
      <c r="Q15">
        <v>0</v>
      </c>
      <c r="R15" s="10">
        <f t="shared" si="0"/>
        <v>10367.5</v>
      </c>
    </row>
    <row r="16" spans="1:29">
      <c r="A16" t="s">
        <v>39</v>
      </c>
      <c r="B16" s="15">
        <v>46252</v>
      </c>
      <c r="C16">
        <v>24250</v>
      </c>
      <c r="D16" t="s">
        <v>88</v>
      </c>
      <c r="E16">
        <v>845</v>
      </c>
      <c r="F16">
        <v>27.5</v>
      </c>
      <c r="G16">
        <v>19292</v>
      </c>
      <c r="H16">
        <v>0</v>
      </c>
      <c r="I16">
        <v>845</v>
      </c>
      <c r="J16">
        <v>13</v>
      </c>
      <c r="K16">
        <v>22.83</v>
      </c>
      <c r="L16">
        <v>13</v>
      </c>
      <c r="M16">
        <v>3945.5</v>
      </c>
      <c r="N16">
        <v>0</v>
      </c>
      <c r="O16">
        <v>65</v>
      </c>
      <c r="P16">
        <v>0</v>
      </c>
      <c r="Q16">
        <v>0</v>
      </c>
      <c r="R16" s="10">
        <f t="shared" si="0"/>
        <v>23237.5</v>
      </c>
    </row>
    <row r="30" spans="1:29">
      <c r="A30" t="s">
        <v>50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116</v>
      </c>
      <c r="Q30" t="s">
        <v>117</v>
      </c>
      <c r="R30" t="s">
        <v>118</v>
      </c>
      <c r="S30" t="s">
        <v>119</v>
      </c>
      <c r="T30" t="s">
        <v>120</v>
      </c>
      <c r="U30" t="s">
        <v>121</v>
      </c>
      <c r="V30" t="s">
        <v>122</v>
      </c>
      <c r="W30" t="s">
        <v>123</v>
      </c>
      <c r="X30" t="s">
        <v>124</v>
      </c>
      <c r="Y30" t="s">
        <v>125</v>
      </c>
      <c r="Z30" t="s">
        <v>126</v>
      </c>
      <c r="AA30" t="s">
        <v>127</v>
      </c>
      <c r="AB30" t="s">
        <v>128</v>
      </c>
      <c r="AC30" t="s">
        <v>129</v>
      </c>
    </row>
    <row r="31" spans="1:29">
      <c r="A31" t="s">
        <v>130</v>
      </c>
      <c r="B31" t="s">
        <v>81</v>
      </c>
      <c r="C31" t="s">
        <v>172</v>
      </c>
      <c r="D31" t="s">
        <v>82</v>
      </c>
      <c r="E31" t="s">
        <v>132</v>
      </c>
      <c r="F31" t="s">
        <v>133</v>
      </c>
      <c r="G31">
        <v>520</v>
      </c>
      <c r="H31">
        <v>585</v>
      </c>
      <c r="I31" s="16">
        <v>0.63924768518518515</v>
      </c>
      <c r="J31">
        <v>1210119015</v>
      </c>
      <c r="K31" t="s">
        <v>134</v>
      </c>
      <c r="L31">
        <v>17.5</v>
      </c>
      <c r="M31">
        <v>0</v>
      </c>
      <c r="N31" s="16">
        <v>0.63924768518518515</v>
      </c>
      <c r="O31" t="s">
        <v>135</v>
      </c>
      <c r="P31">
        <v>1100000125828380</v>
      </c>
      <c r="Q31" t="s">
        <v>130</v>
      </c>
      <c r="S31" t="s">
        <v>136</v>
      </c>
      <c r="T31" t="s">
        <v>137</v>
      </c>
      <c r="U31" t="s">
        <v>130</v>
      </c>
      <c r="V31" t="s">
        <v>138</v>
      </c>
      <c r="W31">
        <v>0</v>
      </c>
      <c r="X31" t="s">
        <v>139</v>
      </c>
      <c r="Y31">
        <v>17.45</v>
      </c>
      <c r="Z31">
        <v>10208.25</v>
      </c>
      <c r="AC31">
        <v>0</v>
      </c>
    </row>
    <row r="32" spans="1:29">
      <c r="A32" t="s">
        <v>130</v>
      </c>
      <c r="B32" t="s">
        <v>81</v>
      </c>
      <c r="C32" t="s">
        <v>172</v>
      </c>
      <c r="D32" t="s">
        <v>82</v>
      </c>
      <c r="E32" t="s">
        <v>132</v>
      </c>
      <c r="F32" t="s">
        <v>133</v>
      </c>
      <c r="G32">
        <v>65</v>
      </c>
      <c r="H32">
        <v>585</v>
      </c>
      <c r="I32" s="16">
        <v>0.63924768518518515</v>
      </c>
      <c r="J32">
        <v>1210119015</v>
      </c>
      <c r="K32" t="s">
        <v>134</v>
      </c>
      <c r="L32">
        <v>17.5</v>
      </c>
      <c r="M32">
        <v>0</v>
      </c>
      <c r="N32" s="16">
        <v>0.63924768518518515</v>
      </c>
      <c r="O32" t="s">
        <v>140</v>
      </c>
      <c r="P32">
        <v>1100000125828380</v>
      </c>
      <c r="Q32" t="s">
        <v>130</v>
      </c>
      <c r="S32" t="s">
        <v>136</v>
      </c>
      <c r="T32" t="s">
        <v>137</v>
      </c>
      <c r="U32" t="s">
        <v>130</v>
      </c>
      <c r="V32" t="s">
        <v>138</v>
      </c>
      <c r="W32">
        <v>520</v>
      </c>
      <c r="X32" t="s">
        <v>139</v>
      </c>
      <c r="Y32">
        <v>17.45</v>
      </c>
      <c r="Z32">
        <v>1134.25</v>
      </c>
      <c r="AC32">
        <v>0</v>
      </c>
    </row>
    <row r="33" spans="1:29">
      <c r="A33" t="s">
        <v>130</v>
      </c>
      <c r="B33" t="s">
        <v>81</v>
      </c>
      <c r="C33" t="s">
        <v>173</v>
      </c>
      <c r="D33" t="s">
        <v>82</v>
      </c>
      <c r="E33" t="s">
        <v>132</v>
      </c>
      <c r="F33" t="s">
        <v>133</v>
      </c>
      <c r="G33">
        <v>65</v>
      </c>
      <c r="H33">
        <v>325</v>
      </c>
      <c r="I33" s="16">
        <v>0.63831018518518523</v>
      </c>
      <c r="J33">
        <v>1210118979</v>
      </c>
      <c r="K33" t="s">
        <v>134</v>
      </c>
      <c r="L33">
        <v>17.149999999999999</v>
      </c>
      <c r="M33">
        <v>0</v>
      </c>
      <c r="N33" s="16">
        <v>0.63831018518518523</v>
      </c>
      <c r="O33" t="s">
        <v>135</v>
      </c>
      <c r="P33">
        <v>1300000137616840</v>
      </c>
      <c r="Q33" t="s">
        <v>130</v>
      </c>
      <c r="S33" t="s">
        <v>136</v>
      </c>
      <c r="T33" t="s">
        <v>137</v>
      </c>
      <c r="U33" t="s">
        <v>130</v>
      </c>
      <c r="V33" t="s">
        <v>138</v>
      </c>
      <c r="W33">
        <v>0</v>
      </c>
      <c r="X33" t="s">
        <v>139</v>
      </c>
      <c r="Y33">
        <v>17.100000000000001</v>
      </c>
      <c r="Z33">
        <v>5557.5</v>
      </c>
      <c r="AC33">
        <v>0</v>
      </c>
    </row>
    <row r="34" spans="1:29">
      <c r="A34" t="s">
        <v>130</v>
      </c>
      <c r="B34" t="s">
        <v>81</v>
      </c>
      <c r="C34" t="s">
        <v>173</v>
      </c>
      <c r="D34" t="s">
        <v>82</v>
      </c>
      <c r="E34" t="s">
        <v>132</v>
      </c>
      <c r="F34" t="s">
        <v>133</v>
      </c>
      <c r="G34">
        <v>65</v>
      </c>
      <c r="H34">
        <v>325</v>
      </c>
      <c r="I34" s="16">
        <v>0.63831018518518523</v>
      </c>
      <c r="J34">
        <v>1210118979</v>
      </c>
      <c r="K34" t="s">
        <v>134</v>
      </c>
      <c r="L34">
        <v>17.149999999999999</v>
      </c>
      <c r="M34">
        <v>0</v>
      </c>
      <c r="N34" s="16">
        <v>0.63831018518518523</v>
      </c>
      <c r="O34" t="s">
        <v>140</v>
      </c>
      <c r="P34">
        <v>1300000137616840</v>
      </c>
      <c r="Q34" t="s">
        <v>130</v>
      </c>
      <c r="S34" t="s">
        <v>136</v>
      </c>
      <c r="T34" t="s">
        <v>137</v>
      </c>
      <c r="U34" t="s">
        <v>130</v>
      </c>
      <c r="V34" t="s">
        <v>138</v>
      </c>
      <c r="W34">
        <v>65</v>
      </c>
      <c r="X34" t="s">
        <v>139</v>
      </c>
      <c r="Y34">
        <v>17.100000000000001</v>
      </c>
      <c r="Z34">
        <v>4446</v>
      </c>
      <c r="AC34">
        <v>0</v>
      </c>
    </row>
    <row r="35" spans="1:29">
      <c r="A35" t="s">
        <v>130</v>
      </c>
      <c r="B35" t="s">
        <v>81</v>
      </c>
      <c r="C35" t="s">
        <v>173</v>
      </c>
      <c r="D35" t="s">
        <v>82</v>
      </c>
      <c r="E35" t="s">
        <v>132</v>
      </c>
      <c r="F35" t="s">
        <v>133</v>
      </c>
      <c r="G35">
        <v>195</v>
      </c>
      <c r="H35">
        <v>325</v>
      </c>
      <c r="I35" s="16">
        <v>0.63831018518518523</v>
      </c>
      <c r="J35">
        <v>1210118979</v>
      </c>
      <c r="K35" t="s">
        <v>134</v>
      </c>
      <c r="L35">
        <v>17.149999999999999</v>
      </c>
      <c r="M35">
        <v>0</v>
      </c>
      <c r="N35" s="16">
        <v>0.63831018518518523</v>
      </c>
      <c r="O35" t="s">
        <v>140</v>
      </c>
      <c r="P35">
        <v>1300000137616840</v>
      </c>
      <c r="Q35" t="s">
        <v>130</v>
      </c>
      <c r="S35" t="s">
        <v>136</v>
      </c>
      <c r="T35" t="s">
        <v>137</v>
      </c>
      <c r="U35" t="s">
        <v>130</v>
      </c>
      <c r="V35" t="s">
        <v>138</v>
      </c>
      <c r="W35">
        <v>130</v>
      </c>
      <c r="X35" t="s">
        <v>139</v>
      </c>
      <c r="Y35">
        <v>17.100000000000001</v>
      </c>
      <c r="Z35">
        <v>3334.5</v>
      </c>
      <c r="AC35">
        <v>0</v>
      </c>
    </row>
    <row r="36" spans="1:29">
      <c r="A36" t="s">
        <v>130</v>
      </c>
      <c r="B36" t="s">
        <v>81</v>
      </c>
      <c r="C36" t="s">
        <v>157</v>
      </c>
      <c r="D36" t="s">
        <v>82</v>
      </c>
      <c r="E36" t="s">
        <v>132</v>
      </c>
      <c r="F36" t="s">
        <v>142</v>
      </c>
      <c r="G36">
        <v>130</v>
      </c>
      <c r="H36">
        <v>130</v>
      </c>
      <c r="I36" s="16">
        <v>0.63418981481481485</v>
      </c>
      <c r="J36">
        <v>1210040208</v>
      </c>
      <c r="K36" t="s">
        <v>134</v>
      </c>
      <c r="L36">
        <v>155.35</v>
      </c>
      <c r="M36">
        <v>0</v>
      </c>
      <c r="N36" s="16">
        <v>0.63418981481481485</v>
      </c>
      <c r="O36" t="s">
        <v>135</v>
      </c>
      <c r="P36">
        <v>1600000128753680</v>
      </c>
      <c r="Q36" t="s">
        <v>130</v>
      </c>
      <c r="S36" t="s">
        <v>136</v>
      </c>
      <c r="T36" t="s">
        <v>145</v>
      </c>
      <c r="U36" t="s">
        <v>130</v>
      </c>
      <c r="V36" t="s">
        <v>138</v>
      </c>
      <c r="W36">
        <v>0</v>
      </c>
      <c r="X36" t="s">
        <v>139</v>
      </c>
      <c r="Y36">
        <v>158.25</v>
      </c>
      <c r="Z36">
        <v>20572.5</v>
      </c>
      <c r="AC36">
        <v>0</v>
      </c>
    </row>
    <row r="37" spans="1:29">
      <c r="A37" t="s">
        <v>130</v>
      </c>
      <c r="B37" t="s">
        <v>81</v>
      </c>
      <c r="C37" t="s">
        <v>158</v>
      </c>
      <c r="D37" t="s">
        <v>82</v>
      </c>
      <c r="E37" t="s">
        <v>132</v>
      </c>
      <c r="F37" t="s">
        <v>133</v>
      </c>
      <c r="G37">
        <v>65</v>
      </c>
      <c r="H37">
        <v>130</v>
      </c>
      <c r="I37" s="16">
        <v>0.63416666666666666</v>
      </c>
      <c r="J37">
        <v>1210040207</v>
      </c>
      <c r="K37" t="s">
        <v>134</v>
      </c>
      <c r="L37">
        <v>165.25</v>
      </c>
      <c r="M37">
        <v>0</v>
      </c>
      <c r="N37" s="16">
        <v>0.63416666666666666</v>
      </c>
      <c r="O37" t="s">
        <v>135</v>
      </c>
      <c r="P37">
        <v>1600000128741600</v>
      </c>
      <c r="Q37" t="s">
        <v>130</v>
      </c>
      <c r="S37" t="s">
        <v>136</v>
      </c>
      <c r="T37" t="s">
        <v>145</v>
      </c>
      <c r="U37" t="s">
        <v>130</v>
      </c>
      <c r="V37" t="s">
        <v>138</v>
      </c>
      <c r="W37">
        <v>0</v>
      </c>
      <c r="X37" t="s">
        <v>139</v>
      </c>
      <c r="Y37">
        <v>162.69999999999999</v>
      </c>
      <c r="Z37">
        <v>21151</v>
      </c>
      <c r="AC37">
        <v>0</v>
      </c>
    </row>
    <row r="38" spans="1:29">
      <c r="A38" t="s">
        <v>130</v>
      </c>
      <c r="B38" t="s">
        <v>81</v>
      </c>
      <c r="C38" t="s">
        <v>158</v>
      </c>
      <c r="D38" t="s">
        <v>82</v>
      </c>
      <c r="E38" t="s">
        <v>132</v>
      </c>
      <c r="F38" t="s">
        <v>133</v>
      </c>
      <c r="G38">
        <v>65</v>
      </c>
      <c r="H38">
        <v>130</v>
      </c>
      <c r="I38" s="16">
        <v>0.63416666666666666</v>
      </c>
      <c r="J38">
        <v>1210040207</v>
      </c>
      <c r="K38" t="s">
        <v>134</v>
      </c>
      <c r="L38">
        <v>165.25</v>
      </c>
      <c r="M38">
        <v>0</v>
      </c>
      <c r="N38" s="16">
        <v>0.63416666666666666</v>
      </c>
      <c r="O38" t="s">
        <v>140</v>
      </c>
      <c r="P38">
        <v>1600000128741600</v>
      </c>
      <c r="Q38" t="s">
        <v>130</v>
      </c>
      <c r="S38" t="s">
        <v>136</v>
      </c>
      <c r="T38" t="s">
        <v>145</v>
      </c>
      <c r="U38" t="s">
        <v>130</v>
      </c>
      <c r="V38" t="s">
        <v>138</v>
      </c>
      <c r="W38">
        <v>65</v>
      </c>
      <c r="X38" t="s">
        <v>139</v>
      </c>
      <c r="Y38">
        <v>162.69999999999999</v>
      </c>
      <c r="Z38">
        <v>10575.5</v>
      </c>
      <c r="AC38">
        <v>0</v>
      </c>
    </row>
    <row r="39" spans="1:29">
      <c r="A39" t="s">
        <v>130</v>
      </c>
      <c r="B39" t="s">
        <v>81</v>
      </c>
      <c r="C39" t="s">
        <v>174</v>
      </c>
      <c r="D39" t="s">
        <v>82</v>
      </c>
      <c r="E39" t="s">
        <v>132</v>
      </c>
      <c r="F39" t="s">
        <v>133</v>
      </c>
      <c r="G39">
        <v>260</v>
      </c>
      <c r="H39">
        <v>520</v>
      </c>
      <c r="I39" s="16">
        <v>0.62276620370370372</v>
      </c>
      <c r="J39">
        <v>1210116634</v>
      </c>
      <c r="K39" t="s">
        <v>134</v>
      </c>
      <c r="L39">
        <v>22.85</v>
      </c>
      <c r="M39">
        <v>0</v>
      </c>
      <c r="N39" s="16">
        <v>0.62276620370370372</v>
      </c>
      <c r="O39" t="s">
        <v>135</v>
      </c>
      <c r="P39">
        <v>1200000120717400</v>
      </c>
      <c r="Q39" t="s">
        <v>130</v>
      </c>
      <c r="S39" t="s">
        <v>136</v>
      </c>
      <c r="T39" t="s">
        <v>137</v>
      </c>
      <c r="U39" t="s">
        <v>130</v>
      </c>
      <c r="V39" t="s">
        <v>138</v>
      </c>
      <c r="W39">
        <v>0</v>
      </c>
      <c r="X39" t="s">
        <v>139</v>
      </c>
      <c r="Y39">
        <v>22.85</v>
      </c>
      <c r="Z39">
        <v>11882</v>
      </c>
      <c r="AC39">
        <v>0</v>
      </c>
    </row>
    <row r="40" spans="1:29">
      <c r="A40" t="s">
        <v>130</v>
      </c>
      <c r="B40" t="s">
        <v>81</v>
      </c>
      <c r="C40" t="s">
        <v>174</v>
      </c>
      <c r="D40" t="s">
        <v>82</v>
      </c>
      <c r="E40" t="s">
        <v>132</v>
      </c>
      <c r="F40" t="s">
        <v>133</v>
      </c>
      <c r="G40">
        <v>260</v>
      </c>
      <c r="H40">
        <v>520</v>
      </c>
      <c r="I40" s="16">
        <v>0.62276620370370372</v>
      </c>
      <c r="J40">
        <v>1210116634</v>
      </c>
      <c r="K40" t="s">
        <v>134</v>
      </c>
      <c r="L40">
        <v>22.85</v>
      </c>
      <c r="M40">
        <v>0</v>
      </c>
      <c r="N40" s="16">
        <v>0.62276620370370372</v>
      </c>
      <c r="O40" t="s">
        <v>140</v>
      </c>
      <c r="P40">
        <v>1200000120717400</v>
      </c>
      <c r="Q40" t="s">
        <v>130</v>
      </c>
      <c r="S40" t="s">
        <v>136</v>
      </c>
      <c r="T40" t="s">
        <v>137</v>
      </c>
      <c r="U40" t="s">
        <v>130</v>
      </c>
      <c r="V40" t="s">
        <v>138</v>
      </c>
      <c r="W40">
        <v>260</v>
      </c>
      <c r="X40" t="s">
        <v>139</v>
      </c>
      <c r="Y40">
        <v>22.85</v>
      </c>
      <c r="Z40">
        <v>5941</v>
      </c>
      <c r="AC40">
        <v>0</v>
      </c>
    </row>
    <row r="41" spans="1:29">
      <c r="A41" t="s">
        <v>130</v>
      </c>
      <c r="B41" t="s">
        <v>81</v>
      </c>
      <c r="C41" t="s">
        <v>169</v>
      </c>
      <c r="D41" t="s">
        <v>82</v>
      </c>
      <c r="E41" t="s">
        <v>132</v>
      </c>
      <c r="F41" t="s">
        <v>142</v>
      </c>
      <c r="G41">
        <v>195</v>
      </c>
      <c r="H41">
        <v>585</v>
      </c>
      <c r="I41" s="16">
        <v>0.62253472222222217</v>
      </c>
      <c r="J41">
        <v>1210116607</v>
      </c>
      <c r="K41" t="s">
        <v>153</v>
      </c>
      <c r="L41">
        <v>0</v>
      </c>
      <c r="M41">
        <v>0</v>
      </c>
      <c r="N41" s="16">
        <v>0.62253472222222217</v>
      </c>
      <c r="O41" t="s">
        <v>135</v>
      </c>
      <c r="P41">
        <v>1000000128334980</v>
      </c>
      <c r="Q41" t="s">
        <v>130</v>
      </c>
      <c r="S41" t="s">
        <v>136</v>
      </c>
      <c r="T41" t="s">
        <v>137</v>
      </c>
      <c r="U41" t="s">
        <v>130</v>
      </c>
      <c r="V41" t="s">
        <v>138</v>
      </c>
      <c r="W41">
        <v>0</v>
      </c>
      <c r="X41" t="s">
        <v>139</v>
      </c>
      <c r="Y41">
        <v>10.65</v>
      </c>
      <c r="Z41">
        <v>6230.25</v>
      </c>
      <c r="AC41">
        <v>0</v>
      </c>
    </row>
    <row r="42" spans="1:29">
      <c r="A42" t="s">
        <v>130</v>
      </c>
      <c r="B42" t="s">
        <v>81</v>
      </c>
      <c r="C42" t="s">
        <v>169</v>
      </c>
      <c r="D42" t="s">
        <v>82</v>
      </c>
      <c r="E42" t="s">
        <v>132</v>
      </c>
      <c r="F42" t="s">
        <v>142</v>
      </c>
      <c r="G42">
        <v>390</v>
      </c>
      <c r="H42">
        <v>585</v>
      </c>
      <c r="I42" s="16">
        <v>0.62253472222222217</v>
      </c>
      <c r="J42">
        <v>1210116607</v>
      </c>
      <c r="K42" t="s">
        <v>153</v>
      </c>
      <c r="L42">
        <v>0</v>
      </c>
      <c r="M42">
        <v>0</v>
      </c>
      <c r="N42" s="16">
        <v>0.62253472222222217</v>
      </c>
      <c r="O42" t="s">
        <v>140</v>
      </c>
      <c r="P42">
        <v>1000000128334980</v>
      </c>
      <c r="Q42" t="s">
        <v>130</v>
      </c>
      <c r="S42" t="s">
        <v>136</v>
      </c>
      <c r="T42" t="s">
        <v>137</v>
      </c>
      <c r="U42" t="s">
        <v>130</v>
      </c>
      <c r="V42" t="s">
        <v>138</v>
      </c>
      <c r="W42">
        <v>195</v>
      </c>
      <c r="X42" t="s">
        <v>139</v>
      </c>
      <c r="Y42">
        <v>10.65</v>
      </c>
      <c r="Z42">
        <v>4153.5</v>
      </c>
      <c r="AC42">
        <v>0</v>
      </c>
    </row>
    <row r="43" spans="1:29">
      <c r="A43" t="s">
        <v>130</v>
      </c>
      <c r="B43" t="s">
        <v>81</v>
      </c>
      <c r="C43" t="s">
        <v>174</v>
      </c>
      <c r="D43" t="s">
        <v>82</v>
      </c>
      <c r="E43" t="s">
        <v>132</v>
      </c>
      <c r="F43" t="s">
        <v>133</v>
      </c>
      <c r="G43">
        <v>325</v>
      </c>
      <c r="H43">
        <v>325</v>
      </c>
      <c r="I43" s="16">
        <v>0.62210648148148151</v>
      </c>
      <c r="J43">
        <v>1210116588</v>
      </c>
      <c r="K43" t="s">
        <v>134</v>
      </c>
      <c r="L43">
        <v>22.8</v>
      </c>
      <c r="M43">
        <v>0</v>
      </c>
      <c r="N43" s="16">
        <v>0.62210648148148151</v>
      </c>
      <c r="O43" t="s">
        <v>135</v>
      </c>
      <c r="P43">
        <v>1200000120418850</v>
      </c>
      <c r="Q43" t="s">
        <v>130</v>
      </c>
      <c r="S43" t="s">
        <v>136</v>
      </c>
      <c r="T43" t="s">
        <v>137</v>
      </c>
      <c r="U43" t="s">
        <v>130</v>
      </c>
      <c r="V43" t="s">
        <v>138</v>
      </c>
      <c r="W43">
        <v>0</v>
      </c>
      <c r="X43" t="s">
        <v>139</v>
      </c>
      <c r="Y43">
        <v>22.8</v>
      </c>
      <c r="Z43">
        <v>7410</v>
      </c>
      <c r="AC43">
        <v>0</v>
      </c>
    </row>
    <row r="44" spans="1:29">
      <c r="A44" t="s">
        <v>130</v>
      </c>
      <c r="B44" t="s">
        <v>81</v>
      </c>
      <c r="C44" t="s">
        <v>169</v>
      </c>
      <c r="D44" t="s">
        <v>82</v>
      </c>
      <c r="E44" t="s">
        <v>132</v>
      </c>
      <c r="F44" t="s">
        <v>142</v>
      </c>
      <c r="G44">
        <v>325</v>
      </c>
      <c r="H44">
        <v>325</v>
      </c>
      <c r="I44" s="16">
        <v>0.62142361111111111</v>
      </c>
      <c r="J44">
        <v>1210114563</v>
      </c>
      <c r="K44" t="s">
        <v>134</v>
      </c>
      <c r="L44">
        <v>10.5</v>
      </c>
      <c r="M44">
        <v>0</v>
      </c>
      <c r="N44" s="16">
        <v>0.62142361111111111</v>
      </c>
      <c r="O44" t="s">
        <v>135</v>
      </c>
      <c r="P44">
        <v>1000000127886780</v>
      </c>
      <c r="Q44" t="s">
        <v>130</v>
      </c>
      <c r="S44" t="s">
        <v>136</v>
      </c>
      <c r="T44" t="s">
        <v>137</v>
      </c>
      <c r="U44" t="s">
        <v>130</v>
      </c>
      <c r="V44" t="s">
        <v>138</v>
      </c>
      <c r="W44">
        <v>0</v>
      </c>
      <c r="X44" t="s">
        <v>139</v>
      </c>
      <c r="Y44">
        <v>10.5</v>
      </c>
      <c r="Z44">
        <v>3412.5</v>
      </c>
      <c r="AC44">
        <v>0</v>
      </c>
    </row>
    <row r="45" spans="1:29">
      <c r="A45" t="s">
        <v>130</v>
      </c>
      <c r="B45" t="s">
        <v>81</v>
      </c>
      <c r="C45" t="s">
        <v>169</v>
      </c>
      <c r="D45" t="s">
        <v>82</v>
      </c>
      <c r="E45" t="s">
        <v>132</v>
      </c>
      <c r="F45" t="s">
        <v>142</v>
      </c>
      <c r="G45">
        <v>260</v>
      </c>
      <c r="H45">
        <v>260</v>
      </c>
      <c r="I45" s="16">
        <v>0.58149305555555553</v>
      </c>
      <c r="J45">
        <v>1210108003</v>
      </c>
      <c r="K45" t="s">
        <v>134</v>
      </c>
      <c r="L45">
        <v>13.2</v>
      </c>
      <c r="M45">
        <v>0</v>
      </c>
      <c r="N45" s="16">
        <v>0.58149305555555553</v>
      </c>
      <c r="O45" t="s">
        <v>135</v>
      </c>
      <c r="P45">
        <v>1000000108713950</v>
      </c>
      <c r="Q45" t="s">
        <v>130</v>
      </c>
      <c r="S45" t="s">
        <v>136</v>
      </c>
      <c r="T45" t="s">
        <v>137</v>
      </c>
      <c r="U45" t="s">
        <v>130</v>
      </c>
      <c r="V45" t="s">
        <v>138</v>
      </c>
      <c r="W45">
        <v>0</v>
      </c>
      <c r="X45" t="s">
        <v>139</v>
      </c>
      <c r="Y45">
        <v>13.2</v>
      </c>
      <c r="Z45">
        <v>3432</v>
      </c>
      <c r="AC45">
        <v>0</v>
      </c>
    </row>
    <row r="46" spans="1:29">
      <c r="A46" t="s">
        <v>130</v>
      </c>
      <c r="B46" t="s">
        <v>81</v>
      </c>
      <c r="C46" t="s">
        <v>161</v>
      </c>
      <c r="D46" t="s">
        <v>82</v>
      </c>
      <c r="E46" t="s">
        <v>132</v>
      </c>
      <c r="F46" t="s">
        <v>142</v>
      </c>
      <c r="G46">
        <v>65</v>
      </c>
      <c r="H46">
        <v>130</v>
      </c>
      <c r="I46" s="16">
        <v>0.57994212962962965</v>
      </c>
      <c r="J46">
        <v>1210040200</v>
      </c>
      <c r="K46" t="s">
        <v>134</v>
      </c>
      <c r="L46">
        <v>192.05</v>
      </c>
      <c r="M46">
        <v>0</v>
      </c>
      <c r="N46" s="16">
        <v>0.57994212962962965</v>
      </c>
      <c r="O46" t="s">
        <v>135</v>
      </c>
      <c r="P46">
        <v>1500000111312450</v>
      </c>
      <c r="Q46" t="s">
        <v>130</v>
      </c>
      <c r="S46" t="s">
        <v>136</v>
      </c>
      <c r="T46" t="s">
        <v>145</v>
      </c>
      <c r="U46" t="s">
        <v>130</v>
      </c>
      <c r="V46" t="s">
        <v>138</v>
      </c>
      <c r="W46">
        <v>0</v>
      </c>
      <c r="X46" t="s">
        <v>139</v>
      </c>
      <c r="Y46">
        <v>195.33</v>
      </c>
      <c r="Z46">
        <v>25392.25</v>
      </c>
      <c r="AC46">
        <v>0</v>
      </c>
    </row>
    <row r="47" spans="1:29">
      <c r="A47" t="s">
        <v>130</v>
      </c>
      <c r="B47" t="s">
        <v>81</v>
      </c>
      <c r="C47" t="s">
        <v>161</v>
      </c>
      <c r="D47" t="s">
        <v>82</v>
      </c>
      <c r="E47" t="s">
        <v>132</v>
      </c>
      <c r="F47" t="s">
        <v>142</v>
      </c>
      <c r="G47">
        <v>65</v>
      </c>
      <c r="H47">
        <v>130</v>
      </c>
      <c r="I47" s="16">
        <v>0.57994212962962965</v>
      </c>
      <c r="J47">
        <v>1210040200</v>
      </c>
      <c r="K47" t="s">
        <v>134</v>
      </c>
      <c r="L47">
        <v>192.05</v>
      </c>
      <c r="M47">
        <v>0</v>
      </c>
      <c r="N47" s="16">
        <v>0.57994212962962965</v>
      </c>
      <c r="O47" t="s">
        <v>140</v>
      </c>
      <c r="P47">
        <v>1500000111312450</v>
      </c>
      <c r="Q47" t="s">
        <v>130</v>
      </c>
      <c r="S47" t="s">
        <v>136</v>
      </c>
      <c r="T47" t="s">
        <v>145</v>
      </c>
      <c r="U47" t="s">
        <v>130</v>
      </c>
      <c r="V47" t="s">
        <v>138</v>
      </c>
      <c r="W47">
        <v>65</v>
      </c>
      <c r="X47" t="s">
        <v>139</v>
      </c>
      <c r="Y47">
        <v>195.35</v>
      </c>
      <c r="Z47">
        <v>12697.75</v>
      </c>
      <c r="AC47">
        <v>0</v>
      </c>
    </row>
    <row r="48" spans="1:29">
      <c r="A48" t="s">
        <v>130</v>
      </c>
      <c r="B48" t="s">
        <v>81</v>
      </c>
      <c r="C48" t="s">
        <v>158</v>
      </c>
      <c r="D48" t="s">
        <v>82</v>
      </c>
      <c r="E48" t="s">
        <v>132</v>
      </c>
      <c r="F48" t="s">
        <v>142</v>
      </c>
      <c r="G48">
        <v>130</v>
      </c>
      <c r="H48">
        <v>130</v>
      </c>
      <c r="I48" s="16">
        <v>0.57994212962962965</v>
      </c>
      <c r="J48">
        <v>1210040199</v>
      </c>
      <c r="K48" t="s">
        <v>134</v>
      </c>
      <c r="L48">
        <v>165.7</v>
      </c>
      <c r="M48">
        <v>0</v>
      </c>
      <c r="N48" s="16">
        <v>0.57994212962962965</v>
      </c>
      <c r="O48" t="s">
        <v>135</v>
      </c>
      <c r="P48">
        <v>1600000101406700</v>
      </c>
      <c r="Q48" t="s">
        <v>130</v>
      </c>
      <c r="S48" t="s">
        <v>136</v>
      </c>
      <c r="T48" t="s">
        <v>145</v>
      </c>
      <c r="U48" t="s">
        <v>130</v>
      </c>
      <c r="V48" t="s">
        <v>138</v>
      </c>
      <c r="W48">
        <v>0</v>
      </c>
      <c r="X48" t="s">
        <v>139</v>
      </c>
      <c r="Y48">
        <v>168.7</v>
      </c>
      <c r="Z48">
        <v>21931</v>
      </c>
      <c r="AC48">
        <v>0</v>
      </c>
    </row>
    <row r="49" spans="1:29">
      <c r="A49" t="s">
        <v>130</v>
      </c>
      <c r="B49" t="s">
        <v>81</v>
      </c>
      <c r="C49" t="s">
        <v>157</v>
      </c>
      <c r="D49" t="s">
        <v>82</v>
      </c>
      <c r="E49" t="s">
        <v>132</v>
      </c>
      <c r="F49" t="s">
        <v>133</v>
      </c>
      <c r="G49">
        <v>65</v>
      </c>
      <c r="H49">
        <v>130</v>
      </c>
      <c r="I49" s="16">
        <v>0.57994212962962965</v>
      </c>
      <c r="J49">
        <v>1210040198</v>
      </c>
      <c r="K49" t="s">
        <v>134</v>
      </c>
      <c r="L49">
        <v>161.15</v>
      </c>
      <c r="M49">
        <v>0</v>
      </c>
      <c r="N49" s="16">
        <v>0.57994212962962965</v>
      </c>
      <c r="O49" t="s">
        <v>135</v>
      </c>
      <c r="P49">
        <v>1600000101406250</v>
      </c>
      <c r="Q49" t="s">
        <v>130</v>
      </c>
      <c r="S49" t="s">
        <v>136</v>
      </c>
      <c r="T49" t="s">
        <v>145</v>
      </c>
      <c r="U49" t="s">
        <v>130</v>
      </c>
      <c r="V49" t="s">
        <v>138</v>
      </c>
      <c r="W49">
        <v>0</v>
      </c>
      <c r="X49" t="s">
        <v>139</v>
      </c>
      <c r="Y49">
        <v>158.72999999999999</v>
      </c>
      <c r="Z49">
        <v>20634.25</v>
      </c>
      <c r="AC49">
        <v>0</v>
      </c>
    </row>
    <row r="50" spans="1:29">
      <c r="A50" t="s">
        <v>130</v>
      </c>
      <c r="B50" t="s">
        <v>81</v>
      </c>
      <c r="C50" t="s">
        <v>157</v>
      </c>
      <c r="D50" t="s">
        <v>82</v>
      </c>
      <c r="E50" t="s">
        <v>132</v>
      </c>
      <c r="F50" t="s">
        <v>133</v>
      </c>
      <c r="G50">
        <v>65</v>
      </c>
      <c r="H50">
        <v>130</v>
      </c>
      <c r="I50" s="16">
        <v>0.57994212962962965</v>
      </c>
      <c r="J50">
        <v>1210040198</v>
      </c>
      <c r="K50" t="s">
        <v>134</v>
      </c>
      <c r="L50">
        <v>161.15</v>
      </c>
      <c r="M50">
        <v>0</v>
      </c>
      <c r="N50" s="16">
        <v>0.57994212962962965</v>
      </c>
      <c r="O50" t="s">
        <v>140</v>
      </c>
      <c r="P50">
        <v>1600000101406250</v>
      </c>
      <c r="Q50" t="s">
        <v>130</v>
      </c>
      <c r="S50" t="s">
        <v>136</v>
      </c>
      <c r="T50" t="s">
        <v>145</v>
      </c>
      <c r="U50" t="s">
        <v>130</v>
      </c>
      <c r="V50" t="s">
        <v>138</v>
      </c>
      <c r="W50">
        <v>65</v>
      </c>
      <c r="X50" t="s">
        <v>139</v>
      </c>
      <c r="Y50">
        <v>158.69999999999999</v>
      </c>
      <c r="Z50">
        <v>10315.5</v>
      </c>
      <c r="AC50">
        <v>0</v>
      </c>
    </row>
    <row r="51" spans="1:29">
      <c r="A51" t="s">
        <v>130</v>
      </c>
      <c r="B51" t="s">
        <v>81</v>
      </c>
      <c r="C51" t="s">
        <v>160</v>
      </c>
      <c r="D51" t="s">
        <v>82</v>
      </c>
      <c r="E51" t="s">
        <v>132</v>
      </c>
      <c r="F51" t="s">
        <v>133</v>
      </c>
      <c r="G51">
        <v>65</v>
      </c>
      <c r="H51">
        <v>130</v>
      </c>
      <c r="I51" s="16">
        <v>0.5799305555555555</v>
      </c>
      <c r="J51">
        <v>1210040197</v>
      </c>
      <c r="K51" t="s">
        <v>134</v>
      </c>
      <c r="L51">
        <v>138.1</v>
      </c>
      <c r="M51">
        <v>0</v>
      </c>
      <c r="N51" s="16">
        <v>0.5799305555555555</v>
      </c>
      <c r="O51" t="s">
        <v>135</v>
      </c>
      <c r="P51">
        <v>1500000111301180</v>
      </c>
      <c r="Q51" t="s">
        <v>130</v>
      </c>
      <c r="S51" t="s">
        <v>136</v>
      </c>
      <c r="T51" t="s">
        <v>145</v>
      </c>
      <c r="U51" t="s">
        <v>130</v>
      </c>
      <c r="V51" t="s">
        <v>138</v>
      </c>
      <c r="W51">
        <v>0</v>
      </c>
      <c r="X51" t="s">
        <v>139</v>
      </c>
      <c r="Y51">
        <v>135.6</v>
      </c>
      <c r="Z51">
        <v>17628</v>
      </c>
      <c r="AC51">
        <v>0</v>
      </c>
    </row>
    <row r="52" spans="1:29">
      <c r="A52" t="s">
        <v>130</v>
      </c>
      <c r="B52" t="s">
        <v>81</v>
      </c>
      <c r="C52" t="s">
        <v>160</v>
      </c>
      <c r="D52" t="s">
        <v>82</v>
      </c>
      <c r="E52" t="s">
        <v>132</v>
      </c>
      <c r="F52" t="s">
        <v>133</v>
      </c>
      <c r="G52">
        <v>65</v>
      </c>
      <c r="H52">
        <v>130</v>
      </c>
      <c r="I52" s="16">
        <v>0.5799305555555555</v>
      </c>
      <c r="J52">
        <v>1210040197</v>
      </c>
      <c r="K52" t="s">
        <v>134</v>
      </c>
      <c r="L52">
        <v>138.1</v>
      </c>
      <c r="M52">
        <v>0</v>
      </c>
      <c r="N52" s="16">
        <v>0.5799305555555555</v>
      </c>
      <c r="O52" t="s">
        <v>140</v>
      </c>
      <c r="P52">
        <v>1500000111301180</v>
      </c>
      <c r="Q52" t="s">
        <v>130</v>
      </c>
      <c r="S52" t="s">
        <v>136</v>
      </c>
      <c r="T52" t="s">
        <v>145</v>
      </c>
      <c r="U52" t="s">
        <v>130</v>
      </c>
      <c r="V52" t="s">
        <v>138</v>
      </c>
      <c r="W52">
        <v>65</v>
      </c>
      <c r="X52" t="s">
        <v>139</v>
      </c>
      <c r="Y52">
        <v>135.6</v>
      </c>
      <c r="Z52">
        <v>8814</v>
      </c>
      <c r="AC52">
        <v>0</v>
      </c>
    </row>
    <row r="53" spans="1:29">
      <c r="A53" t="s">
        <v>130</v>
      </c>
      <c r="B53" t="s">
        <v>81</v>
      </c>
      <c r="C53" t="s">
        <v>173</v>
      </c>
      <c r="D53" t="s">
        <v>82</v>
      </c>
      <c r="E53" t="s">
        <v>132</v>
      </c>
      <c r="F53" t="s">
        <v>133</v>
      </c>
      <c r="G53">
        <v>65</v>
      </c>
      <c r="H53">
        <v>65</v>
      </c>
      <c r="I53" s="16">
        <v>0.57789351851851856</v>
      </c>
      <c r="J53">
        <v>1210106779</v>
      </c>
      <c r="K53" t="s">
        <v>134</v>
      </c>
      <c r="L53">
        <v>19.05</v>
      </c>
      <c r="M53">
        <v>0</v>
      </c>
      <c r="N53" s="16">
        <v>0.57789351851851856</v>
      </c>
      <c r="O53" t="s">
        <v>135</v>
      </c>
      <c r="P53">
        <v>1300000109210910</v>
      </c>
      <c r="Q53" t="s">
        <v>130</v>
      </c>
      <c r="S53" t="s">
        <v>136</v>
      </c>
      <c r="T53" t="s">
        <v>137</v>
      </c>
      <c r="U53" t="s">
        <v>130</v>
      </c>
      <c r="V53" t="s">
        <v>138</v>
      </c>
      <c r="W53">
        <v>0</v>
      </c>
      <c r="X53" t="s">
        <v>139</v>
      </c>
      <c r="Y53">
        <v>19.05</v>
      </c>
      <c r="Z53">
        <v>1238.25</v>
      </c>
      <c r="AC53">
        <v>0</v>
      </c>
    </row>
    <row r="54" spans="1:29">
      <c r="A54" t="s">
        <v>130</v>
      </c>
      <c r="B54" t="s">
        <v>81</v>
      </c>
      <c r="C54" t="s">
        <v>175</v>
      </c>
      <c r="D54" t="s">
        <v>82</v>
      </c>
      <c r="E54" t="s">
        <v>132</v>
      </c>
      <c r="F54" t="s">
        <v>142</v>
      </c>
      <c r="G54">
        <v>130</v>
      </c>
      <c r="H54">
        <v>260</v>
      </c>
      <c r="I54" s="16">
        <v>0.57748842592592597</v>
      </c>
      <c r="J54">
        <v>1210106695</v>
      </c>
      <c r="K54" t="s">
        <v>153</v>
      </c>
      <c r="L54">
        <v>0</v>
      </c>
      <c r="M54">
        <v>0</v>
      </c>
      <c r="N54" s="16">
        <v>0.57748842592592597</v>
      </c>
      <c r="O54" t="s">
        <v>135</v>
      </c>
      <c r="P54">
        <v>1200000098864500</v>
      </c>
      <c r="Q54" t="s">
        <v>130</v>
      </c>
      <c r="S54" t="s">
        <v>136</v>
      </c>
      <c r="T54" t="s">
        <v>137</v>
      </c>
      <c r="U54" t="s">
        <v>130</v>
      </c>
      <c r="V54" t="s">
        <v>138</v>
      </c>
      <c r="W54">
        <v>0</v>
      </c>
      <c r="X54" t="s">
        <v>139</v>
      </c>
      <c r="Y54">
        <v>27.38</v>
      </c>
      <c r="Z54">
        <v>7117.5</v>
      </c>
      <c r="AC54">
        <v>0</v>
      </c>
    </row>
    <row r="55" spans="1:29">
      <c r="A55" t="s">
        <v>130</v>
      </c>
      <c r="B55" t="s">
        <v>81</v>
      </c>
      <c r="C55" t="s">
        <v>175</v>
      </c>
      <c r="D55" t="s">
        <v>82</v>
      </c>
      <c r="E55" t="s">
        <v>132</v>
      </c>
      <c r="F55" t="s">
        <v>142</v>
      </c>
      <c r="G55">
        <v>65</v>
      </c>
      <c r="H55">
        <v>260</v>
      </c>
      <c r="I55" s="16">
        <v>0.57748842592592597</v>
      </c>
      <c r="J55">
        <v>1210106695</v>
      </c>
      <c r="K55" t="s">
        <v>153</v>
      </c>
      <c r="L55">
        <v>0</v>
      </c>
      <c r="M55">
        <v>0</v>
      </c>
      <c r="N55" s="16">
        <v>0.57748842592592597</v>
      </c>
      <c r="O55" t="s">
        <v>140</v>
      </c>
      <c r="P55">
        <v>1200000098864500</v>
      </c>
      <c r="Q55" t="s">
        <v>130</v>
      </c>
      <c r="S55" t="s">
        <v>136</v>
      </c>
      <c r="T55" t="s">
        <v>137</v>
      </c>
      <c r="U55" t="s">
        <v>130</v>
      </c>
      <c r="V55" t="s">
        <v>138</v>
      </c>
      <c r="W55">
        <v>130</v>
      </c>
      <c r="X55" t="s">
        <v>139</v>
      </c>
      <c r="Y55">
        <v>27.4</v>
      </c>
      <c r="Z55">
        <v>3562</v>
      </c>
      <c r="AC55">
        <v>0</v>
      </c>
    </row>
    <row r="56" spans="1:29">
      <c r="A56" t="s">
        <v>130</v>
      </c>
      <c r="B56" t="s">
        <v>81</v>
      </c>
      <c r="C56" t="s">
        <v>175</v>
      </c>
      <c r="D56" t="s">
        <v>82</v>
      </c>
      <c r="E56" t="s">
        <v>132</v>
      </c>
      <c r="F56" t="s">
        <v>142</v>
      </c>
      <c r="G56">
        <v>65</v>
      </c>
      <c r="H56">
        <v>260</v>
      </c>
      <c r="I56" s="16">
        <v>0.57748842592592597</v>
      </c>
      <c r="J56">
        <v>1210106695</v>
      </c>
      <c r="K56" t="s">
        <v>153</v>
      </c>
      <c r="L56">
        <v>0</v>
      </c>
      <c r="M56">
        <v>0</v>
      </c>
      <c r="N56" s="16">
        <v>0.57748842592592597</v>
      </c>
      <c r="O56" t="s">
        <v>140</v>
      </c>
      <c r="P56">
        <v>1200000098864500</v>
      </c>
      <c r="Q56" t="s">
        <v>130</v>
      </c>
      <c r="S56" t="s">
        <v>136</v>
      </c>
      <c r="T56" t="s">
        <v>137</v>
      </c>
      <c r="U56" t="s">
        <v>130</v>
      </c>
      <c r="V56" t="s">
        <v>138</v>
      </c>
      <c r="W56">
        <v>195</v>
      </c>
      <c r="X56" t="s">
        <v>139</v>
      </c>
      <c r="Y56">
        <v>27.4</v>
      </c>
      <c r="Z56">
        <v>1781</v>
      </c>
      <c r="AC56">
        <v>0</v>
      </c>
    </row>
    <row r="57" spans="1:29">
      <c r="A57" t="s">
        <v>130</v>
      </c>
      <c r="B57" t="s">
        <v>81</v>
      </c>
      <c r="C57" t="s">
        <v>173</v>
      </c>
      <c r="D57" t="s">
        <v>82</v>
      </c>
      <c r="E57" t="s">
        <v>132</v>
      </c>
      <c r="F57" t="s">
        <v>133</v>
      </c>
      <c r="G57">
        <v>260</v>
      </c>
      <c r="H57">
        <v>260</v>
      </c>
      <c r="I57" s="16">
        <v>0.5773611111111111</v>
      </c>
      <c r="J57">
        <v>1210106732</v>
      </c>
      <c r="K57" t="s">
        <v>134</v>
      </c>
      <c r="L57">
        <v>19.95</v>
      </c>
      <c r="M57">
        <v>0</v>
      </c>
      <c r="N57" s="16">
        <v>0.5773611111111111</v>
      </c>
      <c r="O57" t="s">
        <v>135</v>
      </c>
      <c r="P57">
        <v>1300000108785840</v>
      </c>
      <c r="Q57" t="s">
        <v>130</v>
      </c>
      <c r="S57" t="s">
        <v>136</v>
      </c>
      <c r="T57" t="s">
        <v>137</v>
      </c>
      <c r="U57" t="s">
        <v>130</v>
      </c>
      <c r="V57" t="s">
        <v>138</v>
      </c>
      <c r="W57">
        <v>0</v>
      </c>
      <c r="X57" t="s">
        <v>139</v>
      </c>
      <c r="Y57">
        <v>19.95</v>
      </c>
      <c r="Z57">
        <v>5187</v>
      </c>
      <c r="AC57">
        <v>0</v>
      </c>
    </row>
    <row r="58" spans="1:29">
      <c r="A58" t="s">
        <v>130</v>
      </c>
      <c r="B58" t="s">
        <v>81</v>
      </c>
      <c r="C58" t="s">
        <v>147</v>
      </c>
      <c r="D58" t="s">
        <v>82</v>
      </c>
      <c r="E58" t="s">
        <v>132</v>
      </c>
      <c r="F58" t="s">
        <v>142</v>
      </c>
      <c r="G58">
        <v>65</v>
      </c>
      <c r="H58">
        <v>130</v>
      </c>
      <c r="I58" s="16">
        <v>0.57578703703703704</v>
      </c>
      <c r="J58">
        <v>1210105536</v>
      </c>
      <c r="K58" t="s">
        <v>134</v>
      </c>
      <c r="L58">
        <v>139</v>
      </c>
      <c r="M58">
        <v>0</v>
      </c>
      <c r="N58" s="16">
        <v>0.57578703703703704</v>
      </c>
      <c r="O58" t="s">
        <v>135</v>
      </c>
      <c r="P58">
        <v>1000000103711250</v>
      </c>
      <c r="Q58" t="s">
        <v>130</v>
      </c>
      <c r="S58" t="s">
        <v>136</v>
      </c>
      <c r="T58" t="s">
        <v>137</v>
      </c>
      <c r="U58" t="s">
        <v>130</v>
      </c>
      <c r="V58" t="s">
        <v>138</v>
      </c>
      <c r="W58">
        <v>0</v>
      </c>
      <c r="X58" t="s">
        <v>139</v>
      </c>
      <c r="Y58">
        <v>139</v>
      </c>
      <c r="Z58">
        <v>18070</v>
      </c>
      <c r="AC58">
        <v>0</v>
      </c>
    </row>
    <row r="59" spans="1:29">
      <c r="A59" t="s">
        <v>130</v>
      </c>
      <c r="B59" t="s">
        <v>81</v>
      </c>
      <c r="C59" t="s">
        <v>147</v>
      </c>
      <c r="D59" t="s">
        <v>82</v>
      </c>
      <c r="E59" t="s">
        <v>132</v>
      </c>
      <c r="F59" t="s">
        <v>142</v>
      </c>
      <c r="G59">
        <v>65</v>
      </c>
      <c r="H59">
        <v>130</v>
      </c>
      <c r="I59" s="16">
        <v>0.57578703703703704</v>
      </c>
      <c r="J59">
        <v>1210105536</v>
      </c>
      <c r="K59" t="s">
        <v>134</v>
      </c>
      <c r="L59">
        <v>139</v>
      </c>
      <c r="M59">
        <v>0</v>
      </c>
      <c r="N59" s="16">
        <v>0.57578703703703704</v>
      </c>
      <c r="O59" t="s">
        <v>140</v>
      </c>
      <c r="P59">
        <v>1000000103711250</v>
      </c>
      <c r="Q59" t="s">
        <v>130</v>
      </c>
      <c r="S59" t="s">
        <v>136</v>
      </c>
      <c r="T59" t="s">
        <v>137</v>
      </c>
      <c r="U59" t="s">
        <v>130</v>
      </c>
      <c r="V59" t="s">
        <v>138</v>
      </c>
      <c r="W59">
        <v>65</v>
      </c>
      <c r="X59" t="s">
        <v>139</v>
      </c>
      <c r="Y59">
        <v>139</v>
      </c>
      <c r="Z59">
        <v>9035</v>
      </c>
      <c r="AC59">
        <v>0</v>
      </c>
    </row>
    <row r="60" spans="1:29">
      <c r="A60" t="s">
        <v>130</v>
      </c>
      <c r="B60" t="s">
        <v>81</v>
      </c>
      <c r="C60" t="s">
        <v>157</v>
      </c>
      <c r="D60" t="s">
        <v>82</v>
      </c>
      <c r="E60" t="s">
        <v>132</v>
      </c>
      <c r="F60" t="s">
        <v>142</v>
      </c>
      <c r="G60">
        <v>65</v>
      </c>
      <c r="H60">
        <v>130</v>
      </c>
      <c r="I60" s="16">
        <v>0.57541666666666669</v>
      </c>
      <c r="J60">
        <v>1210105576</v>
      </c>
      <c r="K60" t="s">
        <v>134</v>
      </c>
      <c r="L60">
        <v>159.4</v>
      </c>
      <c r="M60">
        <v>0</v>
      </c>
      <c r="N60" s="16">
        <v>0.57541666666666669</v>
      </c>
      <c r="O60" t="s">
        <v>135</v>
      </c>
      <c r="P60">
        <v>1600000097963590</v>
      </c>
      <c r="Q60" t="s">
        <v>130</v>
      </c>
      <c r="S60" t="s">
        <v>136</v>
      </c>
      <c r="T60" t="s">
        <v>137</v>
      </c>
      <c r="U60" t="s">
        <v>130</v>
      </c>
      <c r="V60" t="s">
        <v>138</v>
      </c>
      <c r="W60">
        <v>0</v>
      </c>
      <c r="X60" t="s">
        <v>139</v>
      </c>
      <c r="Y60">
        <v>159.69999999999999</v>
      </c>
      <c r="Z60">
        <v>20761</v>
      </c>
      <c r="AC60">
        <v>0</v>
      </c>
    </row>
    <row r="61" spans="1:29">
      <c r="A61" t="s">
        <v>130</v>
      </c>
      <c r="B61" t="s">
        <v>81</v>
      </c>
      <c r="C61" t="s">
        <v>157</v>
      </c>
      <c r="D61" t="s">
        <v>82</v>
      </c>
      <c r="E61" t="s">
        <v>132</v>
      </c>
      <c r="F61" t="s">
        <v>142</v>
      </c>
      <c r="G61">
        <v>65</v>
      </c>
      <c r="H61">
        <v>130</v>
      </c>
      <c r="I61" s="16">
        <v>0.57541666666666669</v>
      </c>
      <c r="J61">
        <v>1210105576</v>
      </c>
      <c r="K61" t="s">
        <v>134</v>
      </c>
      <c r="L61">
        <v>159.4</v>
      </c>
      <c r="M61">
        <v>0</v>
      </c>
      <c r="N61" s="16">
        <v>0.57541666666666669</v>
      </c>
      <c r="O61" t="s">
        <v>140</v>
      </c>
      <c r="P61">
        <v>1600000097963590</v>
      </c>
      <c r="Q61" t="s">
        <v>130</v>
      </c>
      <c r="S61" t="s">
        <v>136</v>
      </c>
      <c r="T61" t="s">
        <v>137</v>
      </c>
      <c r="U61" t="s">
        <v>130</v>
      </c>
      <c r="V61" t="s">
        <v>138</v>
      </c>
      <c r="W61">
        <v>65</v>
      </c>
      <c r="X61" t="s">
        <v>139</v>
      </c>
      <c r="Y61">
        <v>159.69999999999999</v>
      </c>
      <c r="Z61">
        <v>10380.5</v>
      </c>
      <c r="AC61">
        <v>0</v>
      </c>
    </row>
    <row r="62" spans="1:29">
      <c r="A62" t="s">
        <v>130</v>
      </c>
      <c r="B62" t="s">
        <v>81</v>
      </c>
      <c r="C62" t="s">
        <v>164</v>
      </c>
      <c r="D62" t="s">
        <v>82</v>
      </c>
      <c r="E62" t="s">
        <v>132</v>
      </c>
      <c r="F62" t="s">
        <v>133</v>
      </c>
      <c r="G62">
        <v>130</v>
      </c>
      <c r="H62">
        <v>130</v>
      </c>
      <c r="I62" s="16">
        <v>0.57533564814814819</v>
      </c>
      <c r="J62">
        <v>1210105574</v>
      </c>
      <c r="K62" t="s">
        <v>134</v>
      </c>
      <c r="L62">
        <v>99.65</v>
      </c>
      <c r="M62">
        <v>0</v>
      </c>
      <c r="N62" s="16">
        <v>0.57533564814814819</v>
      </c>
      <c r="O62" t="s">
        <v>135</v>
      </c>
      <c r="P62">
        <v>1300000107058310</v>
      </c>
      <c r="Q62" t="s">
        <v>130</v>
      </c>
      <c r="S62" t="s">
        <v>136</v>
      </c>
      <c r="T62" t="s">
        <v>137</v>
      </c>
      <c r="U62" t="s">
        <v>130</v>
      </c>
      <c r="V62" t="s">
        <v>138</v>
      </c>
      <c r="W62">
        <v>0</v>
      </c>
      <c r="X62" t="s">
        <v>139</v>
      </c>
      <c r="Y62">
        <v>99.65</v>
      </c>
      <c r="Z62">
        <v>12954.5</v>
      </c>
      <c r="AC62">
        <v>0</v>
      </c>
    </row>
    <row r="63" spans="1:29">
      <c r="A63" t="s">
        <v>130</v>
      </c>
      <c r="B63" t="s">
        <v>81</v>
      </c>
      <c r="C63" t="s">
        <v>160</v>
      </c>
      <c r="D63" t="s">
        <v>82</v>
      </c>
      <c r="E63" t="s">
        <v>132</v>
      </c>
      <c r="F63" t="s">
        <v>142</v>
      </c>
      <c r="G63">
        <v>65</v>
      </c>
      <c r="H63">
        <v>65</v>
      </c>
      <c r="I63" s="16">
        <v>0.56379629629629635</v>
      </c>
      <c r="J63">
        <v>1210040186</v>
      </c>
      <c r="K63" t="s">
        <v>134</v>
      </c>
      <c r="L63">
        <v>157.85</v>
      </c>
      <c r="M63">
        <v>0</v>
      </c>
      <c r="N63" s="16">
        <v>0.56379629629629635</v>
      </c>
      <c r="O63" t="s">
        <v>135</v>
      </c>
      <c r="P63">
        <v>1500000098509260</v>
      </c>
      <c r="Q63" t="s">
        <v>130</v>
      </c>
      <c r="S63" t="s">
        <v>136</v>
      </c>
      <c r="T63" t="s">
        <v>145</v>
      </c>
      <c r="U63" t="s">
        <v>130</v>
      </c>
      <c r="V63" t="s">
        <v>138</v>
      </c>
      <c r="W63">
        <v>0</v>
      </c>
      <c r="X63" t="s">
        <v>139</v>
      </c>
      <c r="Y63">
        <v>161.19999999999999</v>
      </c>
      <c r="Z63">
        <v>10478</v>
      </c>
      <c r="AC63">
        <v>0</v>
      </c>
    </row>
    <row r="64" spans="1:29">
      <c r="A64" t="s">
        <v>130</v>
      </c>
      <c r="B64" t="s">
        <v>81</v>
      </c>
      <c r="C64" t="s">
        <v>161</v>
      </c>
      <c r="D64" t="s">
        <v>82</v>
      </c>
      <c r="E64" t="s">
        <v>132</v>
      </c>
      <c r="F64" t="s">
        <v>133</v>
      </c>
      <c r="G64">
        <v>65</v>
      </c>
      <c r="H64">
        <v>65</v>
      </c>
      <c r="I64" s="16">
        <v>0.56377314814814816</v>
      </c>
      <c r="J64">
        <v>1210040185</v>
      </c>
      <c r="K64" t="s">
        <v>134</v>
      </c>
      <c r="L64">
        <v>164.2</v>
      </c>
      <c r="M64">
        <v>0</v>
      </c>
      <c r="N64" s="16">
        <v>0.56377314814814816</v>
      </c>
      <c r="O64" t="s">
        <v>135</v>
      </c>
      <c r="P64">
        <v>1500000098496050</v>
      </c>
      <c r="Q64" t="s">
        <v>130</v>
      </c>
      <c r="S64" t="s">
        <v>136</v>
      </c>
      <c r="T64" t="s">
        <v>145</v>
      </c>
      <c r="U64" t="s">
        <v>130</v>
      </c>
      <c r="V64" t="s">
        <v>138</v>
      </c>
      <c r="W64">
        <v>0</v>
      </c>
      <c r="X64" t="s">
        <v>139</v>
      </c>
      <c r="Y64">
        <v>160.69999999999999</v>
      </c>
      <c r="Z64">
        <v>10445.5</v>
      </c>
      <c r="AC64">
        <v>0</v>
      </c>
    </row>
    <row r="65" spans="1:29">
      <c r="A65" t="s">
        <v>130</v>
      </c>
      <c r="B65" t="s">
        <v>81</v>
      </c>
      <c r="C65" t="s">
        <v>169</v>
      </c>
      <c r="D65" t="s">
        <v>82</v>
      </c>
      <c r="E65" t="s">
        <v>132</v>
      </c>
      <c r="F65" t="s">
        <v>133</v>
      </c>
      <c r="G65">
        <v>130</v>
      </c>
      <c r="H65">
        <v>130</v>
      </c>
      <c r="I65" s="16">
        <v>0.53628472222222223</v>
      </c>
      <c r="J65">
        <v>1210097428</v>
      </c>
      <c r="K65" t="s">
        <v>134</v>
      </c>
      <c r="L65">
        <v>17.5</v>
      </c>
      <c r="M65">
        <v>0</v>
      </c>
      <c r="N65" s="16">
        <v>0.53628472222222223</v>
      </c>
      <c r="O65" t="s">
        <v>135</v>
      </c>
      <c r="P65">
        <v>1000000084215350</v>
      </c>
      <c r="Q65" t="s">
        <v>130</v>
      </c>
      <c r="S65" t="s">
        <v>136</v>
      </c>
      <c r="T65" t="s">
        <v>137</v>
      </c>
      <c r="U65" t="s">
        <v>130</v>
      </c>
      <c r="V65" t="s">
        <v>138</v>
      </c>
      <c r="W65">
        <v>0</v>
      </c>
      <c r="X65" t="s">
        <v>139</v>
      </c>
      <c r="Y65">
        <v>17.5</v>
      </c>
      <c r="Z65">
        <v>2275</v>
      </c>
      <c r="AC65">
        <v>0</v>
      </c>
    </row>
    <row r="66" spans="1:29">
      <c r="A66" t="s">
        <v>130</v>
      </c>
      <c r="B66" t="s">
        <v>81</v>
      </c>
      <c r="C66" t="s">
        <v>161</v>
      </c>
      <c r="D66" t="s">
        <v>82</v>
      </c>
      <c r="E66" t="s">
        <v>132</v>
      </c>
      <c r="F66" t="s">
        <v>142</v>
      </c>
      <c r="G66">
        <v>65</v>
      </c>
      <c r="H66">
        <v>65</v>
      </c>
      <c r="I66" s="16">
        <v>0.53614583333333332</v>
      </c>
      <c r="J66">
        <v>1210040181</v>
      </c>
      <c r="K66" t="s">
        <v>134</v>
      </c>
      <c r="L66">
        <v>162.5</v>
      </c>
      <c r="M66">
        <v>0</v>
      </c>
      <c r="N66" s="16">
        <v>0.53614583333333332</v>
      </c>
      <c r="O66" t="s">
        <v>135</v>
      </c>
      <c r="P66">
        <v>1500000087161700</v>
      </c>
      <c r="Q66" t="s">
        <v>130</v>
      </c>
      <c r="S66" t="s">
        <v>136</v>
      </c>
      <c r="T66" t="s">
        <v>145</v>
      </c>
      <c r="U66" t="s">
        <v>130</v>
      </c>
      <c r="V66" t="s">
        <v>138</v>
      </c>
      <c r="W66">
        <v>0</v>
      </c>
      <c r="X66" t="s">
        <v>139</v>
      </c>
      <c r="Y66">
        <v>165.75</v>
      </c>
      <c r="Z66">
        <v>10773.75</v>
      </c>
      <c r="AC66">
        <v>0</v>
      </c>
    </row>
    <row r="67" spans="1:29">
      <c r="A67" t="s">
        <v>130</v>
      </c>
      <c r="B67" t="s">
        <v>81</v>
      </c>
      <c r="C67" t="s">
        <v>161</v>
      </c>
      <c r="D67" t="s">
        <v>82</v>
      </c>
      <c r="E67" t="s">
        <v>132</v>
      </c>
      <c r="F67" t="s">
        <v>142</v>
      </c>
      <c r="G67">
        <v>65</v>
      </c>
      <c r="H67">
        <v>65</v>
      </c>
      <c r="I67" s="16">
        <v>0.53613425925925928</v>
      </c>
      <c r="J67">
        <v>1210040180</v>
      </c>
      <c r="K67" t="s">
        <v>134</v>
      </c>
      <c r="L67">
        <v>162.1</v>
      </c>
      <c r="M67">
        <v>0</v>
      </c>
      <c r="N67" s="16">
        <v>0.53613425925925928</v>
      </c>
      <c r="O67" t="s">
        <v>135</v>
      </c>
      <c r="P67">
        <v>1500000087155860</v>
      </c>
      <c r="Q67" t="s">
        <v>130</v>
      </c>
      <c r="S67" t="s">
        <v>136</v>
      </c>
      <c r="T67" t="s">
        <v>145</v>
      </c>
      <c r="U67" t="s">
        <v>130</v>
      </c>
      <c r="V67" t="s">
        <v>138</v>
      </c>
      <c r="W67">
        <v>0</v>
      </c>
      <c r="X67" t="s">
        <v>139</v>
      </c>
      <c r="Y67">
        <v>165.8</v>
      </c>
      <c r="Z67">
        <v>10777</v>
      </c>
      <c r="AC67">
        <v>0</v>
      </c>
    </row>
    <row r="68" spans="1:29">
      <c r="A68" t="s">
        <v>130</v>
      </c>
      <c r="B68" t="s">
        <v>81</v>
      </c>
      <c r="C68" t="s">
        <v>160</v>
      </c>
      <c r="D68" t="s">
        <v>82</v>
      </c>
      <c r="E68" t="s">
        <v>132</v>
      </c>
      <c r="F68" t="s">
        <v>133</v>
      </c>
      <c r="G68">
        <v>65</v>
      </c>
      <c r="H68">
        <v>65</v>
      </c>
      <c r="I68" s="16">
        <v>0.53613425925925928</v>
      </c>
      <c r="J68">
        <v>1210040179</v>
      </c>
      <c r="K68" t="s">
        <v>134</v>
      </c>
      <c r="L68">
        <v>161.35</v>
      </c>
      <c r="M68">
        <v>0</v>
      </c>
      <c r="N68" s="16">
        <v>0.53613425925925928</v>
      </c>
      <c r="O68" t="s">
        <v>135</v>
      </c>
      <c r="P68">
        <v>1500000087154990</v>
      </c>
      <c r="Q68" t="s">
        <v>130</v>
      </c>
      <c r="S68" t="s">
        <v>136</v>
      </c>
      <c r="T68" t="s">
        <v>145</v>
      </c>
      <c r="U68" t="s">
        <v>130</v>
      </c>
      <c r="V68" t="s">
        <v>138</v>
      </c>
      <c r="W68">
        <v>0</v>
      </c>
      <c r="X68" t="s">
        <v>139</v>
      </c>
      <c r="Y68">
        <v>158.6</v>
      </c>
      <c r="Z68">
        <v>10309</v>
      </c>
      <c r="AC68">
        <v>0</v>
      </c>
    </row>
    <row r="69" spans="1:29">
      <c r="A69" t="s">
        <v>130</v>
      </c>
      <c r="B69" t="s">
        <v>81</v>
      </c>
      <c r="C69" t="s">
        <v>160</v>
      </c>
      <c r="D69" t="s">
        <v>82</v>
      </c>
      <c r="E69" t="s">
        <v>132</v>
      </c>
      <c r="F69" t="s">
        <v>133</v>
      </c>
      <c r="G69">
        <v>65</v>
      </c>
      <c r="H69">
        <v>65</v>
      </c>
      <c r="I69" s="16">
        <v>0.53612268518518513</v>
      </c>
      <c r="J69">
        <v>1210040178</v>
      </c>
      <c r="K69" t="s">
        <v>134</v>
      </c>
      <c r="L69">
        <v>161.35</v>
      </c>
      <c r="M69">
        <v>0</v>
      </c>
      <c r="N69" s="16">
        <v>0.53612268518518513</v>
      </c>
      <c r="O69" t="s">
        <v>135</v>
      </c>
      <c r="P69">
        <v>1500000087151960</v>
      </c>
      <c r="Q69" t="s">
        <v>130</v>
      </c>
      <c r="S69" t="s">
        <v>136</v>
      </c>
      <c r="T69" t="s">
        <v>145</v>
      </c>
      <c r="U69" t="s">
        <v>130</v>
      </c>
      <c r="V69" t="s">
        <v>138</v>
      </c>
      <c r="W69">
        <v>0</v>
      </c>
      <c r="X69" t="s">
        <v>139</v>
      </c>
      <c r="Y69">
        <v>158.69999999999999</v>
      </c>
      <c r="Z69">
        <v>10315.5</v>
      </c>
      <c r="AC69">
        <v>0</v>
      </c>
    </row>
    <row r="70" spans="1:29">
      <c r="A70" t="s">
        <v>130</v>
      </c>
      <c r="B70" t="s">
        <v>81</v>
      </c>
      <c r="C70" t="s">
        <v>160</v>
      </c>
      <c r="D70" t="s">
        <v>82</v>
      </c>
      <c r="E70" t="s">
        <v>132</v>
      </c>
      <c r="F70" t="s">
        <v>142</v>
      </c>
      <c r="G70">
        <v>65</v>
      </c>
      <c r="H70">
        <v>65</v>
      </c>
      <c r="I70" s="16">
        <v>0.53010416666666671</v>
      </c>
      <c r="J70">
        <v>1210040177</v>
      </c>
      <c r="K70" t="s">
        <v>134</v>
      </c>
      <c r="L70">
        <v>163</v>
      </c>
      <c r="M70">
        <v>0</v>
      </c>
      <c r="N70" s="16">
        <v>0.53010416666666671</v>
      </c>
      <c r="O70" t="s">
        <v>135</v>
      </c>
      <c r="P70">
        <v>1500000084319960</v>
      </c>
      <c r="Q70" t="s">
        <v>130</v>
      </c>
      <c r="S70" t="s">
        <v>136</v>
      </c>
      <c r="T70" t="s">
        <v>145</v>
      </c>
      <c r="U70" t="s">
        <v>130</v>
      </c>
      <c r="V70" t="s">
        <v>138</v>
      </c>
      <c r="W70">
        <v>0</v>
      </c>
      <c r="X70" t="s">
        <v>139</v>
      </c>
      <c r="Y70">
        <v>165.7</v>
      </c>
      <c r="Z70">
        <v>10770.5</v>
      </c>
      <c r="AC70">
        <v>0</v>
      </c>
    </row>
    <row r="71" spans="1:29">
      <c r="A71" t="s">
        <v>130</v>
      </c>
      <c r="B71" t="s">
        <v>81</v>
      </c>
      <c r="C71" t="s">
        <v>161</v>
      </c>
      <c r="D71" t="s">
        <v>82</v>
      </c>
      <c r="E71" t="s">
        <v>132</v>
      </c>
      <c r="F71" t="s">
        <v>133</v>
      </c>
      <c r="G71">
        <v>65</v>
      </c>
      <c r="H71">
        <v>65</v>
      </c>
      <c r="I71" s="16">
        <v>0.53009259259259256</v>
      </c>
      <c r="J71">
        <v>1210040176</v>
      </c>
      <c r="K71" t="s">
        <v>134</v>
      </c>
      <c r="L71">
        <v>162.30000000000001</v>
      </c>
      <c r="M71">
        <v>0</v>
      </c>
      <c r="N71" s="16">
        <v>0.53009259259259256</v>
      </c>
      <c r="O71" t="s">
        <v>135</v>
      </c>
      <c r="P71">
        <v>1500000084313850</v>
      </c>
      <c r="Q71" t="s">
        <v>130</v>
      </c>
      <c r="S71" t="s">
        <v>136</v>
      </c>
      <c r="T71" t="s">
        <v>145</v>
      </c>
      <c r="U71" t="s">
        <v>130</v>
      </c>
      <c r="V71" t="s">
        <v>138</v>
      </c>
      <c r="W71">
        <v>0</v>
      </c>
      <c r="X71" t="s">
        <v>139</v>
      </c>
      <c r="Y71">
        <v>159.69999999999999</v>
      </c>
      <c r="Z71">
        <v>10380.5</v>
      </c>
      <c r="AC71">
        <v>0</v>
      </c>
    </row>
    <row r="72" spans="1:29">
      <c r="A72" t="s">
        <v>130</v>
      </c>
      <c r="B72" t="s">
        <v>81</v>
      </c>
      <c r="C72" t="s">
        <v>160</v>
      </c>
      <c r="D72" t="s">
        <v>82</v>
      </c>
      <c r="E72" t="s">
        <v>132</v>
      </c>
      <c r="F72" t="s">
        <v>142</v>
      </c>
      <c r="G72">
        <v>65</v>
      </c>
      <c r="H72">
        <v>65</v>
      </c>
      <c r="I72" s="16">
        <v>0.53009259259259256</v>
      </c>
      <c r="J72">
        <v>1210040175</v>
      </c>
      <c r="K72" t="s">
        <v>134</v>
      </c>
      <c r="L72">
        <v>162.65</v>
      </c>
      <c r="M72">
        <v>0</v>
      </c>
      <c r="N72" s="16">
        <v>0.53009259259259256</v>
      </c>
      <c r="O72" t="s">
        <v>135</v>
      </c>
      <c r="P72">
        <v>1500000084313640</v>
      </c>
      <c r="Q72" t="s">
        <v>130</v>
      </c>
      <c r="S72" t="s">
        <v>136</v>
      </c>
      <c r="T72" t="s">
        <v>145</v>
      </c>
      <c r="U72" t="s">
        <v>130</v>
      </c>
      <c r="V72" t="s">
        <v>138</v>
      </c>
      <c r="W72">
        <v>0</v>
      </c>
      <c r="X72" t="s">
        <v>139</v>
      </c>
      <c r="Y72">
        <v>165.75</v>
      </c>
      <c r="Z72">
        <v>10773.75</v>
      </c>
      <c r="AC72">
        <v>0</v>
      </c>
    </row>
    <row r="73" spans="1:29">
      <c r="A73" t="s">
        <v>130</v>
      </c>
      <c r="B73" t="s">
        <v>81</v>
      </c>
      <c r="C73" t="s">
        <v>161</v>
      </c>
      <c r="D73" t="s">
        <v>82</v>
      </c>
      <c r="E73" t="s">
        <v>132</v>
      </c>
      <c r="F73" t="s">
        <v>133</v>
      </c>
      <c r="G73">
        <v>65</v>
      </c>
      <c r="H73">
        <v>65</v>
      </c>
      <c r="I73" s="16">
        <v>0.53008101851851852</v>
      </c>
      <c r="J73">
        <v>1210040174</v>
      </c>
      <c r="K73" t="s">
        <v>134</v>
      </c>
      <c r="L73">
        <v>162.30000000000001</v>
      </c>
      <c r="M73">
        <v>0</v>
      </c>
      <c r="N73" s="16">
        <v>0.53008101851851852</v>
      </c>
      <c r="O73" t="s">
        <v>135</v>
      </c>
      <c r="P73">
        <v>1500000084310040</v>
      </c>
      <c r="Q73" t="s">
        <v>130</v>
      </c>
      <c r="S73" t="s">
        <v>136</v>
      </c>
      <c r="T73" t="s">
        <v>145</v>
      </c>
      <c r="U73" t="s">
        <v>130</v>
      </c>
      <c r="V73" t="s">
        <v>138</v>
      </c>
      <c r="W73">
        <v>0</v>
      </c>
      <c r="X73" t="s">
        <v>139</v>
      </c>
      <c r="Y73">
        <v>159.75</v>
      </c>
      <c r="Z73">
        <v>10383.75</v>
      </c>
      <c r="AC73">
        <v>0</v>
      </c>
    </row>
    <row r="74" spans="1:29">
      <c r="A74" t="s">
        <v>130</v>
      </c>
      <c r="B74" t="s">
        <v>81</v>
      </c>
      <c r="C74" t="s">
        <v>175</v>
      </c>
      <c r="D74" t="s">
        <v>82</v>
      </c>
      <c r="E74" t="s">
        <v>132</v>
      </c>
      <c r="F74" t="s">
        <v>142</v>
      </c>
      <c r="G74">
        <v>65</v>
      </c>
      <c r="H74">
        <v>65</v>
      </c>
      <c r="I74" s="16">
        <v>0.52327546296296301</v>
      </c>
      <c r="J74">
        <v>1210095111</v>
      </c>
      <c r="K74" t="s">
        <v>134</v>
      </c>
      <c r="L74">
        <v>17</v>
      </c>
      <c r="M74">
        <v>0</v>
      </c>
      <c r="N74" s="16">
        <v>0.52327546296296301</v>
      </c>
      <c r="O74" t="s">
        <v>135</v>
      </c>
      <c r="P74">
        <v>1200000074031350</v>
      </c>
      <c r="Q74" t="s">
        <v>130</v>
      </c>
      <c r="S74" t="s">
        <v>136</v>
      </c>
      <c r="T74" t="s">
        <v>137</v>
      </c>
      <c r="U74" t="s">
        <v>130</v>
      </c>
      <c r="V74" t="s">
        <v>138</v>
      </c>
      <c r="W74">
        <v>0</v>
      </c>
      <c r="X74" t="s">
        <v>139</v>
      </c>
      <c r="Y74">
        <v>17.05</v>
      </c>
      <c r="Z74">
        <v>1108.25</v>
      </c>
      <c r="AC74">
        <v>0</v>
      </c>
    </row>
    <row r="75" spans="1:29">
      <c r="A75" t="s">
        <v>130</v>
      </c>
      <c r="B75" t="s">
        <v>81</v>
      </c>
      <c r="C75" t="s">
        <v>169</v>
      </c>
      <c r="D75" t="s">
        <v>82</v>
      </c>
      <c r="E75" t="s">
        <v>132</v>
      </c>
      <c r="F75" t="s">
        <v>133</v>
      </c>
      <c r="G75">
        <v>325</v>
      </c>
      <c r="H75">
        <v>520</v>
      </c>
      <c r="I75" s="16">
        <v>0.52265046296296291</v>
      </c>
      <c r="J75">
        <v>1210095073</v>
      </c>
      <c r="K75" t="s">
        <v>134</v>
      </c>
      <c r="L75">
        <v>19.850000000000001</v>
      </c>
      <c r="M75">
        <v>0</v>
      </c>
      <c r="N75" s="16">
        <v>0.52265046296296291</v>
      </c>
      <c r="O75" t="s">
        <v>135</v>
      </c>
      <c r="P75">
        <v>1000000078002290</v>
      </c>
      <c r="Q75" t="s">
        <v>130</v>
      </c>
      <c r="S75" t="s">
        <v>136</v>
      </c>
      <c r="T75" t="s">
        <v>137</v>
      </c>
      <c r="U75" t="s">
        <v>130</v>
      </c>
      <c r="V75" t="s">
        <v>138</v>
      </c>
      <c r="W75">
        <v>0</v>
      </c>
      <c r="X75" t="s">
        <v>139</v>
      </c>
      <c r="Y75">
        <v>19.850000000000001</v>
      </c>
      <c r="Z75">
        <v>10322</v>
      </c>
      <c r="AC75">
        <v>0</v>
      </c>
    </row>
    <row r="76" spans="1:29">
      <c r="A76" t="s">
        <v>130</v>
      </c>
      <c r="B76" t="s">
        <v>81</v>
      </c>
      <c r="C76" t="s">
        <v>169</v>
      </c>
      <c r="D76" t="s">
        <v>82</v>
      </c>
      <c r="E76" t="s">
        <v>132</v>
      </c>
      <c r="F76" t="s">
        <v>133</v>
      </c>
      <c r="G76">
        <v>195</v>
      </c>
      <c r="H76">
        <v>520</v>
      </c>
      <c r="I76" s="16">
        <v>0.52265046296296291</v>
      </c>
      <c r="J76">
        <v>1210095073</v>
      </c>
      <c r="K76" t="s">
        <v>134</v>
      </c>
      <c r="L76">
        <v>19.850000000000001</v>
      </c>
      <c r="M76">
        <v>0</v>
      </c>
      <c r="N76" s="16">
        <v>0.52265046296296291</v>
      </c>
      <c r="O76" t="s">
        <v>140</v>
      </c>
      <c r="P76">
        <v>1000000078002290</v>
      </c>
      <c r="Q76" t="s">
        <v>130</v>
      </c>
      <c r="S76" t="s">
        <v>136</v>
      </c>
      <c r="T76" t="s">
        <v>137</v>
      </c>
      <c r="U76" t="s">
        <v>130</v>
      </c>
      <c r="V76" t="s">
        <v>138</v>
      </c>
      <c r="W76">
        <v>325</v>
      </c>
      <c r="X76" t="s">
        <v>139</v>
      </c>
      <c r="Y76">
        <v>19.850000000000001</v>
      </c>
      <c r="Z76">
        <v>3870.75</v>
      </c>
      <c r="AC76">
        <v>0</v>
      </c>
    </row>
    <row r="77" spans="1:29">
      <c r="A77" t="s">
        <v>130</v>
      </c>
      <c r="B77" t="s">
        <v>81</v>
      </c>
      <c r="C77" t="s">
        <v>176</v>
      </c>
      <c r="D77" t="s">
        <v>82</v>
      </c>
      <c r="E77" t="s">
        <v>132</v>
      </c>
      <c r="F77" t="s">
        <v>142</v>
      </c>
      <c r="G77">
        <v>65</v>
      </c>
      <c r="H77">
        <v>65</v>
      </c>
      <c r="I77" s="16">
        <v>0.52254629629629634</v>
      </c>
      <c r="J77">
        <v>1210095071</v>
      </c>
      <c r="K77" t="s">
        <v>134</v>
      </c>
      <c r="L77">
        <v>13.65</v>
      </c>
      <c r="M77">
        <v>0</v>
      </c>
      <c r="N77" s="16">
        <v>0.52254629629629634</v>
      </c>
      <c r="O77" t="s">
        <v>135</v>
      </c>
      <c r="P77">
        <v>1600000073626420</v>
      </c>
      <c r="Q77" t="s">
        <v>130</v>
      </c>
      <c r="S77" t="s">
        <v>136</v>
      </c>
      <c r="T77" t="s">
        <v>137</v>
      </c>
      <c r="U77" t="s">
        <v>130</v>
      </c>
      <c r="V77" t="s">
        <v>138</v>
      </c>
      <c r="W77">
        <v>0</v>
      </c>
      <c r="X77" t="s">
        <v>139</v>
      </c>
      <c r="Y77">
        <v>13.7</v>
      </c>
      <c r="Z77">
        <v>890.5</v>
      </c>
      <c r="AC77">
        <v>0</v>
      </c>
    </row>
    <row r="78" spans="1:29">
      <c r="A78" t="s">
        <v>130</v>
      </c>
      <c r="B78" t="s">
        <v>81</v>
      </c>
      <c r="C78" t="s">
        <v>176</v>
      </c>
      <c r="D78" t="s">
        <v>82</v>
      </c>
      <c r="E78" t="s">
        <v>132</v>
      </c>
      <c r="F78" t="s">
        <v>142</v>
      </c>
      <c r="G78">
        <v>195</v>
      </c>
      <c r="H78">
        <v>195</v>
      </c>
      <c r="I78" s="16">
        <v>0.52251157407407411</v>
      </c>
      <c r="J78">
        <v>1210095069</v>
      </c>
      <c r="K78" t="s">
        <v>134</v>
      </c>
      <c r="L78">
        <v>13.6</v>
      </c>
      <c r="M78">
        <v>0</v>
      </c>
      <c r="N78" s="16">
        <v>0.52251157407407411</v>
      </c>
      <c r="O78" t="s">
        <v>135</v>
      </c>
      <c r="P78">
        <v>1600000073617770</v>
      </c>
      <c r="Q78" t="s">
        <v>130</v>
      </c>
      <c r="S78" t="s">
        <v>136</v>
      </c>
      <c r="T78" t="s">
        <v>137</v>
      </c>
      <c r="U78" t="s">
        <v>130</v>
      </c>
      <c r="V78" t="s">
        <v>138</v>
      </c>
      <c r="W78">
        <v>0</v>
      </c>
      <c r="X78" t="s">
        <v>139</v>
      </c>
      <c r="Y78">
        <v>13.65</v>
      </c>
      <c r="Z78">
        <v>2661.75</v>
      </c>
      <c r="AC78">
        <v>0</v>
      </c>
    </row>
    <row r="79" spans="1:29">
      <c r="A79" t="s">
        <v>130</v>
      </c>
      <c r="B79" t="s">
        <v>81</v>
      </c>
      <c r="C79" t="s">
        <v>169</v>
      </c>
      <c r="D79" t="s">
        <v>82</v>
      </c>
      <c r="E79" t="s">
        <v>132</v>
      </c>
      <c r="F79" t="s">
        <v>133</v>
      </c>
      <c r="G79">
        <v>325</v>
      </c>
      <c r="H79">
        <v>520</v>
      </c>
      <c r="I79" s="16">
        <v>0.52244212962962966</v>
      </c>
      <c r="J79">
        <v>1210095067</v>
      </c>
      <c r="K79" t="s">
        <v>134</v>
      </c>
      <c r="L79">
        <v>19.55</v>
      </c>
      <c r="M79">
        <v>0</v>
      </c>
      <c r="N79" s="16">
        <v>0.52244212962962966</v>
      </c>
      <c r="O79" t="s">
        <v>135</v>
      </c>
      <c r="P79">
        <v>1000000077918350</v>
      </c>
      <c r="Q79" t="s">
        <v>130</v>
      </c>
      <c r="S79" t="s">
        <v>136</v>
      </c>
      <c r="T79" t="s">
        <v>137</v>
      </c>
      <c r="U79" t="s">
        <v>130</v>
      </c>
      <c r="V79" t="s">
        <v>138</v>
      </c>
      <c r="W79">
        <v>0</v>
      </c>
      <c r="X79" t="s">
        <v>139</v>
      </c>
      <c r="Y79">
        <v>19.53</v>
      </c>
      <c r="Z79">
        <v>10156.25</v>
      </c>
      <c r="AC79">
        <v>0</v>
      </c>
    </row>
    <row r="80" spans="1:29">
      <c r="A80" t="s">
        <v>130</v>
      </c>
      <c r="B80" t="s">
        <v>81</v>
      </c>
      <c r="C80" t="s">
        <v>169</v>
      </c>
      <c r="D80" t="s">
        <v>82</v>
      </c>
      <c r="E80" t="s">
        <v>132</v>
      </c>
      <c r="F80" t="s">
        <v>133</v>
      </c>
      <c r="G80">
        <v>195</v>
      </c>
      <c r="H80">
        <v>520</v>
      </c>
      <c r="I80" s="16">
        <v>0.52244212962962966</v>
      </c>
      <c r="J80">
        <v>1210095067</v>
      </c>
      <c r="K80" t="s">
        <v>134</v>
      </c>
      <c r="L80">
        <v>19.55</v>
      </c>
      <c r="M80">
        <v>0</v>
      </c>
      <c r="N80" s="16">
        <v>0.52244212962962966</v>
      </c>
      <c r="O80" t="s">
        <v>140</v>
      </c>
      <c r="P80">
        <v>1000000077918350</v>
      </c>
      <c r="Q80" t="s">
        <v>130</v>
      </c>
      <c r="S80" t="s">
        <v>136</v>
      </c>
      <c r="T80" t="s">
        <v>137</v>
      </c>
      <c r="U80" t="s">
        <v>130</v>
      </c>
      <c r="V80" t="s">
        <v>138</v>
      </c>
      <c r="W80">
        <v>325</v>
      </c>
      <c r="X80" t="s">
        <v>139</v>
      </c>
      <c r="Y80">
        <v>19.5</v>
      </c>
      <c r="Z80">
        <v>3802.5</v>
      </c>
      <c r="AC80">
        <v>0</v>
      </c>
    </row>
    <row r="81" spans="1:29">
      <c r="A81" t="s">
        <v>130</v>
      </c>
      <c r="B81" t="s">
        <v>81</v>
      </c>
      <c r="C81" t="s">
        <v>176</v>
      </c>
      <c r="D81" t="s">
        <v>82</v>
      </c>
      <c r="E81" t="s">
        <v>132</v>
      </c>
      <c r="F81" t="s">
        <v>142</v>
      </c>
      <c r="G81">
        <v>65</v>
      </c>
      <c r="H81">
        <v>65</v>
      </c>
      <c r="I81" s="16">
        <v>0.52209490740740738</v>
      </c>
      <c r="J81">
        <v>1210095036</v>
      </c>
      <c r="K81" t="s">
        <v>134</v>
      </c>
      <c r="L81">
        <v>13.65</v>
      </c>
      <c r="M81">
        <v>0</v>
      </c>
      <c r="N81" s="16">
        <v>0.52209490740740738</v>
      </c>
      <c r="O81" t="s">
        <v>135</v>
      </c>
      <c r="P81">
        <v>1600000073443840</v>
      </c>
      <c r="Q81" t="s">
        <v>130</v>
      </c>
      <c r="S81" t="s">
        <v>136</v>
      </c>
      <c r="T81" t="s">
        <v>137</v>
      </c>
      <c r="U81" t="s">
        <v>130</v>
      </c>
      <c r="V81" t="s">
        <v>138</v>
      </c>
      <c r="W81">
        <v>0</v>
      </c>
      <c r="X81" t="s">
        <v>139</v>
      </c>
      <c r="Y81">
        <v>13.7</v>
      </c>
      <c r="Z81">
        <v>890.5</v>
      </c>
      <c r="AC81">
        <v>0</v>
      </c>
    </row>
    <row r="82" spans="1:29">
      <c r="A82" t="s">
        <v>130</v>
      </c>
      <c r="B82" t="s">
        <v>81</v>
      </c>
      <c r="C82" t="s">
        <v>176</v>
      </c>
      <c r="D82" t="s">
        <v>82</v>
      </c>
      <c r="E82" t="s">
        <v>132</v>
      </c>
      <c r="F82" t="s">
        <v>142</v>
      </c>
      <c r="G82">
        <v>65</v>
      </c>
      <c r="H82">
        <v>65</v>
      </c>
      <c r="I82" s="16">
        <v>0.5220717592592593</v>
      </c>
      <c r="J82">
        <v>1210095031</v>
      </c>
      <c r="K82" t="s">
        <v>134</v>
      </c>
      <c r="L82">
        <v>13.65</v>
      </c>
      <c r="M82">
        <v>0</v>
      </c>
      <c r="N82" s="16">
        <v>0.5220717592592593</v>
      </c>
      <c r="O82" t="s">
        <v>135</v>
      </c>
      <c r="P82">
        <v>1600000073431110</v>
      </c>
      <c r="Q82" t="s">
        <v>130</v>
      </c>
      <c r="S82" t="s">
        <v>136</v>
      </c>
      <c r="T82" t="s">
        <v>137</v>
      </c>
      <c r="U82" t="s">
        <v>130</v>
      </c>
      <c r="V82" t="s">
        <v>138</v>
      </c>
      <c r="W82">
        <v>0</v>
      </c>
      <c r="X82" t="s">
        <v>139</v>
      </c>
      <c r="Y82">
        <v>13.65</v>
      </c>
      <c r="Z82">
        <v>887.25</v>
      </c>
      <c r="AC82">
        <v>0</v>
      </c>
    </row>
    <row r="83" spans="1:29">
      <c r="A83" t="s">
        <v>130</v>
      </c>
      <c r="B83" t="s">
        <v>81</v>
      </c>
      <c r="C83" t="s">
        <v>176</v>
      </c>
      <c r="D83" t="s">
        <v>82</v>
      </c>
      <c r="E83" t="s">
        <v>132</v>
      </c>
      <c r="F83" t="s">
        <v>142</v>
      </c>
      <c r="G83">
        <v>65</v>
      </c>
      <c r="H83">
        <v>65</v>
      </c>
      <c r="I83" s="16">
        <v>0.52204861111111112</v>
      </c>
      <c r="J83">
        <v>1210095025</v>
      </c>
      <c r="K83" t="s">
        <v>134</v>
      </c>
      <c r="L83">
        <v>13.6</v>
      </c>
      <c r="M83">
        <v>0</v>
      </c>
      <c r="N83" s="16">
        <v>0.52204861111111112</v>
      </c>
      <c r="O83" t="s">
        <v>135</v>
      </c>
      <c r="P83">
        <v>1600000073423250</v>
      </c>
      <c r="Q83" t="s">
        <v>130</v>
      </c>
      <c r="S83" t="s">
        <v>136</v>
      </c>
      <c r="T83" t="s">
        <v>137</v>
      </c>
      <c r="U83" t="s">
        <v>130</v>
      </c>
      <c r="V83" t="s">
        <v>138</v>
      </c>
      <c r="W83">
        <v>0</v>
      </c>
      <c r="X83" t="s">
        <v>139</v>
      </c>
      <c r="Y83">
        <v>13.6</v>
      </c>
      <c r="Z83">
        <v>884</v>
      </c>
      <c r="AC83">
        <v>0</v>
      </c>
    </row>
    <row r="84" spans="1:29">
      <c r="A84" t="s">
        <v>130</v>
      </c>
      <c r="B84" t="s">
        <v>81</v>
      </c>
      <c r="C84" t="s">
        <v>176</v>
      </c>
      <c r="D84" t="s">
        <v>82</v>
      </c>
      <c r="E84" t="s">
        <v>132</v>
      </c>
      <c r="F84" t="s">
        <v>142</v>
      </c>
      <c r="G84">
        <v>65</v>
      </c>
      <c r="H84">
        <v>65</v>
      </c>
      <c r="I84" s="16">
        <v>0.52202546296296293</v>
      </c>
      <c r="J84">
        <v>1210095022</v>
      </c>
      <c r="K84" t="s">
        <v>134</v>
      </c>
      <c r="L84">
        <v>13.65</v>
      </c>
      <c r="M84">
        <v>0</v>
      </c>
      <c r="N84" s="16">
        <v>0.52202546296296293</v>
      </c>
      <c r="O84" t="s">
        <v>135</v>
      </c>
      <c r="P84">
        <v>1600000073412210</v>
      </c>
      <c r="Q84" t="s">
        <v>130</v>
      </c>
      <c r="S84" t="s">
        <v>136</v>
      </c>
      <c r="T84" t="s">
        <v>137</v>
      </c>
      <c r="U84" t="s">
        <v>130</v>
      </c>
      <c r="V84" t="s">
        <v>138</v>
      </c>
      <c r="W84">
        <v>0</v>
      </c>
      <c r="X84" t="s">
        <v>139</v>
      </c>
      <c r="Y84">
        <v>13.65</v>
      </c>
      <c r="Z84">
        <v>887.25</v>
      </c>
      <c r="AC84">
        <v>0</v>
      </c>
    </row>
    <row r="85" spans="1:29">
      <c r="A85" t="s">
        <v>130</v>
      </c>
      <c r="B85" t="s">
        <v>81</v>
      </c>
      <c r="C85" t="s">
        <v>176</v>
      </c>
      <c r="D85" t="s">
        <v>82</v>
      </c>
      <c r="E85" t="s">
        <v>132</v>
      </c>
      <c r="F85" t="s">
        <v>142</v>
      </c>
      <c r="G85">
        <v>65</v>
      </c>
      <c r="H85">
        <v>65</v>
      </c>
      <c r="I85" s="16">
        <v>0.52200231481481485</v>
      </c>
      <c r="J85">
        <v>1210095020</v>
      </c>
      <c r="K85" t="s">
        <v>134</v>
      </c>
      <c r="L85">
        <v>13.65</v>
      </c>
      <c r="M85">
        <v>0</v>
      </c>
      <c r="N85" s="16">
        <v>0.52200231481481485</v>
      </c>
      <c r="O85" t="s">
        <v>135</v>
      </c>
      <c r="P85">
        <v>1600000073402850</v>
      </c>
      <c r="Q85" t="s">
        <v>130</v>
      </c>
      <c r="S85" t="s">
        <v>136</v>
      </c>
      <c r="T85" t="s">
        <v>137</v>
      </c>
      <c r="U85" t="s">
        <v>130</v>
      </c>
      <c r="V85" t="s">
        <v>138</v>
      </c>
      <c r="W85">
        <v>0</v>
      </c>
      <c r="X85" t="s">
        <v>139</v>
      </c>
      <c r="Y85">
        <v>13.65</v>
      </c>
      <c r="Z85">
        <v>887.25</v>
      </c>
      <c r="AC85">
        <v>0</v>
      </c>
    </row>
    <row r="86" spans="1:29">
      <c r="A86" t="s">
        <v>130</v>
      </c>
      <c r="B86" t="s">
        <v>81</v>
      </c>
      <c r="C86" t="s">
        <v>176</v>
      </c>
      <c r="D86" t="s">
        <v>82</v>
      </c>
      <c r="E86" t="s">
        <v>132</v>
      </c>
      <c r="F86" t="s">
        <v>142</v>
      </c>
      <c r="G86">
        <v>65</v>
      </c>
      <c r="H86">
        <v>65</v>
      </c>
      <c r="I86" s="16">
        <v>0.52197916666666666</v>
      </c>
      <c r="J86">
        <v>1210095019</v>
      </c>
      <c r="K86" t="s">
        <v>134</v>
      </c>
      <c r="L86">
        <v>13.6</v>
      </c>
      <c r="M86">
        <v>0</v>
      </c>
      <c r="N86" s="16">
        <v>0.52197916666666666</v>
      </c>
      <c r="O86" t="s">
        <v>135</v>
      </c>
      <c r="P86">
        <v>1600000073390120</v>
      </c>
      <c r="Q86" t="s">
        <v>130</v>
      </c>
      <c r="S86" t="s">
        <v>136</v>
      </c>
      <c r="T86" t="s">
        <v>137</v>
      </c>
      <c r="U86" t="s">
        <v>130</v>
      </c>
      <c r="V86" t="s">
        <v>138</v>
      </c>
      <c r="W86">
        <v>0</v>
      </c>
      <c r="X86" t="s">
        <v>139</v>
      </c>
      <c r="Y86">
        <v>13.65</v>
      </c>
      <c r="Z86">
        <v>887.25</v>
      </c>
      <c r="AC86">
        <v>0</v>
      </c>
    </row>
    <row r="87" spans="1:29">
      <c r="A87" t="s">
        <v>130</v>
      </c>
      <c r="B87" t="s">
        <v>81</v>
      </c>
      <c r="C87" t="s">
        <v>176</v>
      </c>
      <c r="D87" t="s">
        <v>82</v>
      </c>
      <c r="E87" t="s">
        <v>132</v>
      </c>
      <c r="F87" t="s">
        <v>142</v>
      </c>
      <c r="G87">
        <v>65</v>
      </c>
      <c r="H87">
        <v>65</v>
      </c>
      <c r="I87" s="16">
        <v>0.52195601851851847</v>
      </c>
      <c r="J87">
        <v>1210094017</v>
      </c>
      <c r="K87" t="s">
        <v>134</v>
      </c>
      <c r="L87">
        <v>13.6</v>
      </c>
      <c r="M87">
        <v>0</v>
      </c>
      <c r="N87" s="16">
        <v>0.52195601851851847</v>
      </c>
      <c r="O87" t="s">
        <v>135</v>
      </c>
      <c r="P87">
        <v>1600000073375460</v>
      </c>
      <c r="Q87" t="s">
        <v>130</v>
      </c>
      <c r="S87" t="s">
        <v>136</v>
      </c>
      <c r="T87" t="s">
        <v>137</v>
      </c>
      <c r="U87" t="s">
        <v>130</v>
      </c>
      <c r="V87" t="s">
        <v>138</v>
      </c>
      <c r="W87">
        <v>0</v>
      </c>
      <c r="X87" t="s">
        <v>139</v>
      </c>
      <c r="Y87">
        <v>13.6</v>
      </c>
      <c r="Z87">
        <v>884</v>
      </c>
      <c r="AC87">
        <v>0</v>
      </c>
    </row>
    <row r="88" spans="1:29">
      <c r="A88" t="s">
        <v>130</v>
      </c>
      <c r="B88" t="s">
        <v>81</v>
      </c>
      <c r="C88" t="s">
        <v>176</v>
      </c>
      <c r="D88" t="s">
        <v>82</v>
      </c>
      <c r="E88" t="s">
        <v>132</v>
      </c>
      <c r="F88" t="s">
        <v>142</v>
      </c>
      <c r="G88">
        <v>65</v>
      </c>
      <c r="H88">
        <v>65</v>
      </c>
      <c r="I88" s="16">
        <v>0.52193287037037039</v>
      </c>
      <c r="J88">
        <v>1210094016</v>
      </c>
      <c r="K88" t="s">
        <v>134</v>
      </c>
      <c r="L88">
        <v>13.55</v>
      </c>
      <c r="M88">
        <v>0</v>
      </c>
      <c r="N88" s="16">
        <v>0.52193287037037039</v>
      </c>
      <c r="O88" t="s">
        <v>135</v>
      </c>
      <c r="P88">
        <v>1600000073365760</v>
      </c>
      <c r="Q88" t="s">
        <v>130</v>
      </c>
      <c r="S88" t="s">
        <v>136</v>
      </c>
      <c r="T88" t="s">
        <v>137</v>
      </c>
      <c r="U88" t="s">
        <v>130</v>
      </c>
      <c r="V88" t="s">
        <v>138</v>
      </c>
      <c r="W88">
        <v>0</v>
      </c>
      <c r="X88" t="s">
        <v>139</v>
      </c>
      <c r="Y88">
        <v>13.6</v>
      </c>
      <c r="Z88">
        <v>884</v>
      </c>
      <c r="AC88">
        <v>0</v>
      </c>
    </row>
    <row r="89" spans="1:29">
      <c r="A89" t="s">
        <v>130</v>
      </c>
      <c r="B89" t="s">
        <v>81</v>
      </c>
      <c r="C89" t="s">
        <v>176</v>
      </c>
      <c r="D89" t="s">
        <v>82</v>
      </c>
      <c r="E89" t="s">
        <v>132</v>
      </c>
      <c r="F89" t="s">
        <v>142</v>
      </c>
      <c r="G89">
        <v>65</v>
      </c>
      <c r="H89">
        <v>65</v>
      </c>
      <c r="I89" s="16">
        <v>0.52190972222222221</v>
      </c>
      <c r="J89">
        <v>1210094013</v>
      </c>
      <c r="K89" t="s">
        <v>134</v>
      </c>
      <c r="L89">
        <v>13.5</v>
      </c>
      <c r="M89">
        <v>0</v>
      </c>
      <c r="N89" s="16">
        <v>0.52190972222222221</v>
      </c>
      <c r="O89" t="s">
        <v>135</v>
      </c>
      <c r="P89">
        <v>1600000073354920</v>
      </c>
      <c r="Q89" t="s">
        <v>130</v>
      </c>
      <c r="S89" t="s">
        <v>136</v>
      </c>
      <c r="T89" t="s">
        <v>137</v>
      </c>
      <c r="U89" t="s">
        <v>130</v>
      </c>
      <c r="V89" t="s">
        <v>138</v>
      </c>
      <c r="W89">
        <v>0</v>
      </c>
      <c r="X89" t="s">
        <v>139</v>
      </c>
      <c r="Y89">
        <v>13.55</v>
      </c>
      <c r="Z89">
        <v>880.75</v>
      </c>
      <c r="AC89">
        <v>0</v>
      </c>
    </row>
    <row r="90" spans="1:29">
      <c r="A90" t="s">
        <v>130</v>
      </c>
      <c r="B90" t="s">
        <v>81</v>
      </c>
      <c r="C90" t="s">
        <v>176</v>
      </c>
      <c r="D90" t="s">
        <v>82</v>
      </c>
      <c r="E90" t="s">
        <v>132</v>
      </c>
      <c r="F90" t="s">
        <v>142</v>
      </c>
      <c r="G90">
        <v>65</v>
      </c>
      <c r="H90">
        <v>65</v>
      </c>
      <c r="I90" s="16">
        <v>0.52188657407407413</v>
      </c>
      <c r="J90">
        <v>1210094011</v>
      </c>
      <c r="K90" t="s">
        <v>134</v>
      </c>
      <c r="L90">
        <v>13.5</v>
      </c>
      <c r="M90">
        <v>0</v>
      </c>
      <c r="N90" s="16">
        <v>0.52188657407407413</v>
      </c>
      <c r="O90" t="s">
        <v>135</v>
      </c>
      <c r="P90">
        <v>1600000073345660</v>
      </c>
      <c r="Q90" t="s">
        <v>130</v>
      </c>
      <c r="S90" t="s">
        <v>136</v>
      </c>
      <c r="T90" t="s">
        <v>137</v>
      </c>
      <c r="U90" t="s">
        <v>130</v>
      </c>
      <c r="V90" t="s">
        <v>138</v>
      </c>
      <c r="W90">
        <v>0</v>
      </c>
      <c r="X90" t="s">
        <v>139</v>
      </c>
      <c r="Y90">
        <v>13.5</v>
      </c>
      <c r="Z90">
        <v>877.5</v>
      </c>
      <c r="AC90">
        <v>0</v>
      </c>
    </row>
    <row r="91" spans="1:29">
      <c r="A91" t="s">
        <v>130</v>
      </c>
      <c r="B91" t="s">
        <v>81</v>
      </c>
      <c r="C91" t="s">
        <v>176</v>
      </c>
      <c r="D91" t="s">
        <v>82</v>
      </c>
      <c r="E91" t="s">
        <v>132</v>
      </c>
      <c r="F91" t="s">
        <v>142</v>
      </c>
      <c r="G91">
        <v>65</v>
      </c>
      <c r="H91">
        <v>65</v>
      </c>
      <c r="I91" s="16">
        <v>0.5218518518518519</v>
      </c>
      <c r="J91">
        <v>1210094009</v>
      </c>
      <c r="K91" t="s">
        <v>134</v>
      </c>
      <c r="L91">
        <v>13.35</v>
      </c>
      <c r="M91">
        <v>0</v>
      </c>
      <c r="N91" s="16">
        <v>0.5218518518518519</v>
      </c>
      <c r="O91" t="s">
        <v>135</v>
      </c>
      <c r="P91">
        <v>1600000073330450</v>
      </c>
      <c r="Q91" t="s">
        <v>130</v>
      </c>
      <c r="S91" t="s">
        <v>136</v>
      </c>
      <c r="T91" t="s">
        <v>137</v>
      </c>
      <c r="U91" t="s">
        <v>130</v>
      </c>
      <c r="V91" t="s">
        <v>138</v>
      </c>
      <c r="W91">
        <v>0</v>
      </c>
      <c r="X91" t="s">
        <v>139</v>
      </c>
      <c r="Y91">
        <v>13.45</v>
      </c>
      <c r="Z91">
        <v>874.25</v>
      </c>
      <c r="AC91">
        <v>0</v>
      </c>
    </row>
    <row r="92" spans="1:29">
      <c r="A92" t="s">
        <v>130</v>
      </c>
      <c r="B92" t="s">
        <v>81</v>
      </c>
      <c r="C92" t="s">
        <v>161</v>
      </c>
      <c r="D92" t="s">
        <v>82</v>
      </c>
      <c r="E92" t="s">
        <v>132</v>
      </c>
      <c r="F92" t="s">
        <v>142</v>
      </c>
      <c r="G92">
        <v>65</v>
      </c>
      <c r="H92">
        <v>65</v>
      </c>
      <c r="I92" s="16">
        <v>0.49107638888888888</v>
      </c>
      <c r="J92">
        <v>1210040170</v>
      </c>
      <c r="K92" t="s">
        <v>134</v>
      </c>
      <c r="L92">
        <v>157.19999999999999</v>
      </c>
      <c r="M92">
        <v>0</v>
      </c>
      <c r="N92" s="16">
        <v>0.49107638888888888</v>
      </c>
      <c r="O92" t="s">
        <v>135</v>
      </c>
      <c r="P92">
        <v>1500000066557040</v>
      </c>
      <c r="Q92" t="s">
        <v>130</v>
      </c>
      <c r="S92" t="s">
        <v>136</v>
      </c>
      <c r="T92" t="s">
        <v>145</v>
      </c>
      <c r="U92" t="s">
        <v>130</v>
      </c>
      <c r="V92" t="s">
        <v>138</v>
      </c>
      <c r="W92">
        <v>0</v>
      </c>
      <c r="X92" t="s">
        <v>139</v>
      </c>
      <c r="Y92">
        <v>160.44999999999999</v>
      </c>
      <c r="Z92">
        <v>10429.25</v>
      </c>
      <c r="AC92">
        <v>0</v>
      </c>
    </row>
    <row r="93" spans="1:29">
      <c r="A93" t="s">
        <v>130</v>
      </c>
      <c r="B93" t="s">
        <v>81</v>
      </c>
      <c r="C93" t="s">
        <v>160</v>
      </c>
      <c r="D93" t="s">
        <v>82</v>
      </c>
      <c r="E93" t="s">
        <v>132</v>
      </c>
      <c r="F93" t="s">
        <v>133</v>
      </c>
      <c r="G93">
        <v>65</v>
      </c>
      <c r="H93">
        <v>65</v>
      </c>
      <c r="I93" s="16">
        <v>0.49106481481481479</v>
      </c>
      <c r="J93">
        <v>1210040169</v>
      </c>
      <c r="K93" t="s">
        <v>134</v>
      </c>
      <c r="L93">
        <v>170.6</v>
      </c>
      <c r="M93">
        <v>0</v>
      </c>
      <c r="N93" s="16">
        <v>0.49106481481481479</v>
      </c>
      <c r="O93" t="s">
        <v>135</v>
      </c>
      <c r="P93">
        <v>1500000066550480</v>
      </c>
      <c r="Q93" t="s">
        <v>130</v>
      </c>
      <c r="S93" t="s">
        <v>136</v>
      </c>
      <c r="T93" t="s">
        <v>145</v>
      </c>
      <c r="U93" t="s">
        <v>130</v>
      </c>
      <c r="V93" t="s">
        <v>138</v>
      </c>
      <c r="W93">
        <v>0</v>
      </c>
      <c r="X93" t="s">
        <v>139</v>
      </c>
      <c r="Y93">
        <v>167.5</v>
      </c>
      <c r="Z93">
        <v>10887.5</v>
      </c>
      <c r="AC93">
        <v>0</v>
      </c>
    </row>
    <row r="94" spans="1:29">
      <c r="A94" t="s">
        <v>130</v>
      </c>
      <c r="B94" t="s">
        <v>81</v>
      </c>
      <c r="C94" t="s">
        <v>160</v>
      </c>
      <c r="D94" t="s">
        <v>82</v>
      </c>
      <c r="E94" t="s">
        <v>132</v>
      </c>
      <c r="F94" t="s">
        <v>133</v>
      </c>
      <c r="G94">
        <v>65</v>
      </c>
      <c r="H94">
        <v>65</v>
      </c>
      <c r="I94" s="16">
        <v>0.49106481481481479</v>
      </c>
      <c r="J94">
        <v>1210040168</v>
      </c>
      <c r="K94" t="s">
        <v>134</v>
      </c>
      <c r="L94">
        <v>170.6</v>
      </c>
      <c r="M94">
        <v>0</v>
      </c>
      <c r="N94" s="16">
        <v>0.49106481481481479</v>
      </c>
      <c r="O94" t="s">
        <v>135</v>
      </c>
      <c r="P94">
        <v>1500000066550190</v>
      </c>
      <c r="Q94" t="s">
        <v>130</v>
      </c>
      <c r="S94" t="s">
        <v>136</v>
      </c>
      <c r="T94" t="s">
        <v>145</v>
      </c>
      <c r="U94" t="s">
        <v>130</v>
      </c>
      <c r="V94" t="s">
        <v>138</v>
      </c>
      <c r="W94">
        <v>0</v>
      </c>
      <c r="X94" t="s">
        <v>139</v>
      </c>
      <c r="Y94">
        <v>167.5</v>
      </c>
      <c r="Z94">
        <v>10887.5</v>
      </c>
      <c r="AC94">
        <v>0</v>
      </c>
    </row>
    <row r="95" spans="1:29">
      <c r="A95" t="s">
        <v>130</v>
      </c>
      <c r="B95" t="s">
        <v>81</v>
      </c>
      <c r="C95" t="s">
        <v>161</v>
      </c>
      <c r="D95" t="s">
        <v>82</v>
      </c>
      <c r="E95" t="s">
        <v>132</v>
      </c>
      <c r="F95" t="s">
        <v>142</v>
      </c>
      <c r="G95">
        <v>65</v>
      </c>
      <c r="H95">
        <v>65</v>
      </c>
      <c r="I95" s="16">
        <v>0.49106481481481479</v>
      </c>
      <c r="J95">
        <v>1210040167</v>
      </c>
      <c r="K95" t="s">
        <v>134</v>
      </c>
      <c r="L95">
        <v>157.05000000000001</v>
      </c>
      <c r="M95">
        <v>0</v>
      </c>
      <c r="N95" s="16">
        <v>0.49106481481481479</v>
      </c>
      <c r="O95" t="s">
        <v>135</v>
      </c>
      <c r="P95">
        <v>1500000066549280</v>
      </c>
      <c r="Q95" t="s">
        <v>130</v>
      </c>
      <c r="S95" t="s">
        <v>136</v>
      </c>
      <c r="T95" t="s">
        <v>145</v>
      </c>
      <c r="U95" t="s">
        <v>130</v>
      </c>
      <c r="V95" t="s">
        <v>138</v>
      </c>
      <c r="W95">
        <v>0</v>
      </c>
      <c r="X95" t="s">
        <v>139</v>
      </c>
      <c r="Y95">
        <v>160.44999999999999</v>
      </c>
      <c r="Z95">
        <v>10429.25</v>
      </c>
      <c r="AC95">
        <v>0</v>
      </c>
    </row>
    <row r="96" spans="1:29">
      <c r="A96" t="s">
        <v>130</v>
      </c>
      <c r="B96" t="s">
        <v>81</v>
      </c>
      <c r="C96" t="s">
        <v>160</v>
      </c>
      <c r="D96" t="s">
        <v>82</v>
      </c>
      <c r="E96" t="s">
        <v>132</v>
      </c>
      <c r="F96" t="s">
        <v>142</v>
      </c>
      <c r="G96">
        <v>65</v>
      </c>
      <c r="H96">
        <v>65</v>
      </c>
      <c r="I96" s="16">
        <v>0.47993055555555558</v>
      </c>
      <c r="J96">
        <v>1210040164</v>
      </c>
      <c r="K96" t="s">
        <v>134</v>
      </c>
      <c r="L96">
        <v>172.65</v>
      </c>
      <c r="M96">
        <v>0</v>
      </c>
      <c r="N96" s="16">
        <v>0.47993055555555558</v>
      </c>
      <c r="O96" t="s">
        <v>135</v>
      </c>
      <c r="P96">
        <v>1500000061535280</v>
      </c>
      <c r="Q96" t="s">
        <v>130</v>
      </c>
      <c r="S96" t="s">
        <v>136</v>
      </c>
      <c r="T96" t="s">
        <v>145</v>
      </c>
      <c r="U96" t="s">
        <v>130</v>
      </c>
      <c r="V96" t="s">
        <v>138</v>
      </c>
      <c r="W96">
        <v>0</v>
      </c>
      <c r="X96" t="s">
        <v>139</v>
      </c>
      <c r="Y96">
        <v>176</v>
      </c>
      <c r="Z96">
        <v>11440</v>
      </c>
      <c r="AC96">
        <v>0</v>
      </c>
    </row>
    <row r="97" spans="1:29">
      <c r="A97" t="s">
        <v>130</v>
      </c>
      <c r="B97" t="s">
        <v>81</v>
      </c>
      <c r="C97" t="s">
        <v>161</v>
      </c>
      <c r="D97" t="s">
        <v>82</v>
      </c>
      <c r="E97" t="s">
        <v>132</v>
      </c>
      <c r="F97" t="s">
        <v>133</v>
      </c>
      <c r="G97">
        <v>65</v>
      </c>
      <c r="H97">
        <v>65</v>
      </c>
      <c r="I97" s="16">
        <v>0.47991898148148149</v>
      </c>
      <c r="J97">
        <v>1210040163</v>
      </c>
      <c r="K97" t="s">
        <v>134</v>
      </c>
      <c r="L97">
        <v>155.05000000000001</v>
      </c>
      <c r="M97">
        <v>0</v>
      </c>
      <c r="N97" s="16">
        <v>0.47991898148148149</v>
      </c>
      <c r="O97" t="s">
        <v>135</v>
      </c>
      <c r="P97">
        <v>1500000061527340</v>
      </c>
      <c r="Q97" t="s">
        <v>130</v>
      </c>
      <c r="S97" t="s">
        <v>136</v>
      </c>
      <c r="T97" t="s">
        <v>145</v>
      </c>
      <c r="U97" t="s">
        <v>130</v>
      </c>
      <c r="V97" t="s">
        <v>138</v>
      </c>
      <c r="W97">
        <v>0</v>
      </c>
      <c r="X97" t="s">
        <v>139</v>
      </c>
      <c r="Y97">
        <v>153</v>
      </c>
      <c r="Z97">
        <v>9945</v>
      </c>
      <c r="AC97">
        <v>0</v>
      </c>
    </row>
    <row r="98" spans="1:29">
      <c r="A98" t="s">
        <v>130</v>
      </c>
      <c r="B98" t="s">
        <v>81</v>
      </c>
      <c r="C98" t="s">
        <v>160</v>
      </c>
      <c r="D98" t="s">
        <v>82</v>
      </c>
      <c r="E98" t="s">
        <v>132</v>
      </c>
      <c r="F98" t="s">
        <v>142</v>
      </c>
      <c r="G98">
        <v>65</v>
      </c>
      <c r="H98">
        <v>65</v>
      </c>
      <c r="I98" s="16">
        <v>0.47991898148148149</v>
      </c>
      <c r="J98">
        <v>1210040162</v>
      </c>
      <c r="K98" t="s">
        <v>134</v>
      </c>
      <c r="L98">
        <v>173.5</v>
      </c>
      <c r="M98">
        <v>0</v>
      </c>
      <c r="N98" s="16">
        <v>0.47991898148148149</v>
      </c>
      <c r="O98" t="s">
        <v>135</v>
      </c>
      <c r="P98">
        <v>1500000061526750</v>
      </c>
      <c r="Q98" t="s">
        <v>130</v>
      </c>
      <c r="S98" t="s">
        <v>136</v>
      </c>
      <c r="T98" t="s">
        <v>145</v>
      </c>
      <c r="U98" t="s">
        <v>130</v>
      </c>
      <c r="V98" t="s">
        <v>138</v>
      </c>
      <c r="W98">
        <v>0</v>
      </c>
      <c r="X98" t="s">
        <v>139</v>
      </c>
      <c r="Y98">
        <v>176.15</v>
      </c>
      <c r="Z98">
        <v>11449.75</v>
      </c>
      <c r="AC98">
        <v>0</v>
      </c>
    </row>
    <row r="99" spans="1:29">
      <c r="A99" t="s">
        <v>130</v>
      </c>
      <c r="B99" t="s">
        <v>81</v>
      </c>
      <c r="C99" t="s">
        <v>161</v>
      </c>
      <c r="D99" t="s">
        <v>82</v>
      </c>
      <c r="E99" t="s">
        <v>132</v>
      </c>
      <c r="F99" t="s">
        <v>133</v>
      </c>
      <c r="G99">
        <v>65</v>
      </c>
      <c r="H99">
        <v>65</v>
      </c>
      <c r="I99" s="16">
        <v>0.47990740740740739</v>
      </c>
      <c r="J99">
        <v>1210040161</v>
      </c>
      <c r="K99" t="s">
        <v>134</v>
      </c>
      <c r="L99">
        <v>155.05000000000001</v>
      </c>
      <c r="M99">
        <v>0</v>
      </c>
      <c r="N99" s="16">
        <v>0.47990740740740739</v>
      </c>
      <c r="O99" t="s">
        <v>135</v>
      </c>
      <c r="P99">
        <v>1500000061519500</v>
      </c>
      <c r="Q99" t="s">
        <v>130</v>
      </c>
      <c r="S99" t="s">
        <v>136</v>
      </c>
      <c r="T99" t="s">
        <v>145</v>
      </c>
      <c r="U99" t="s">
        <v>130</v>
      </c>
      <c r="V99" t="s">
        <v>138</v>
      </c>
      <c r="W99">
        <v>0</v>
      </c>
      <c r="X99" t="s">
        <v>139</v>
      </c>
      <c r="Y99">
        <v>152.65</v>
      </c>
      <c r="Z99">
        <v>9922.25</v>
      </c>
      <c r="AC99">
        <v>0</v>
      </c>
    </row>
    <row r="100" spans="1:29">
      <c r="A100" t="s">
        <v>130</v>
      </c>
      <c r="B100" t="s">
        <v>81</v>
      </c>
      <c r="C100" t="s">
        <v>161</v>
      </c>
      <c r="D100" t="s">
        <v>82</v>
      </c>
      <c r="E100" t="s">
        <v>132</v>
      </c>
      <c r="F100" t="s">
        <v>142</v>
      </c>
      <c r="G100">
        <v>65</v>
      </c>
      <c r="H100">
        <v>65</v>
      </c>
      <c r="I100" s="16">
        <v>0.47368055555555555</v>
      </c>
      <c r="J100">
        <v>1210040160</v>
      </c>
      <c r="K100" t="s">
        <v>134</v>
      </c>
      <c r="L100">
        <v>155.75</v>
      </c>
      <c r="M100">
        <v>0</v>
      </c>
      <c r="N100" s="16">
        <v>0.47368055555555555</v>
      </c>
      <c r="O100" t="s">
        <v>135</v>
      </c>
      <c r="P100">
        <v>1500000058287680</v>
      </c>
      <c r="Q100" t="s">
        <v>130</v>
      </c>
      <c r="S100" t="s">
        <v>136</v>
      </c>
      <c r="T100" t="s">
        <v>145</v>
      </c>
      <c r="U100" t="s">
        <v>130</v>
      </c>
      <c r="V100" t="s">
        <v>138</v>
      </c>
      <c r="W100">
        <v>0</v>
      </c>
      <c r="X100" t="s">
        <v>139</v>
      </c>
      <c r="Y100">
        <v>158.80000000000001</v>
      </c>
      <c r="Z100">
        <v>10322</v>
      </c>
      <c r="AC100">
        <v>0</v>
      </c>
    </row>
    <row r="101" spans="1:29">
      <c r="A101" t="s">
        <v>130</v>
      </c>
      <c r="B101" t="s">
        <v>81</v>
      </c>
      <c r="C101" t="s">
        <v>160</v>
      </c>
      <c r="D101" t="s">
        <v>82</v>
      </c>
      <c r="E101" t="s">
        <v>132</v>
      </c>
      <c r="F101" t="s">
        <v>133</v>
      </c>
      <c r="G101">
        <v>65</v>
      </c>
      <c r="H101">
        <v>65</v>
      </c>
      <c r="I101" s="16">
        <v>0.47366898148148145</v>
      </c>
      <c r="J101">
        <v>1210040159</v>
      </c>
      <c r="K101" t="s">
        <v>134</v>
      </c>
      <c r="L101">
        <v>168.6</v>
      </c>
      <c r="M101">
        <v>0</v>
      </c>
      <c r="N101" s="16">
        <v>0.47366898148148145</v>
      </c>
      <c r="O101" t="s">
        <v>135</v>
      </c>
      <c r="P101">
        <v>1500000058281740</v>
      </c>
      <c r="Q101" t="s">
        <v>130</v>
      </c>
      <c r="S101" t="s">
        <v>136</v>
      </c>
      <c r="T101" t="s">
        <v>145</v>
      </c>
      <c r="U101" t="s">
        <v>130</v>
      </c>
      <c r="V101" t="s">
        <v>138</v>
      </c>
      <c r="W101">
        <v>0</v>
      </c>
      <c r="X101" t="s">
        <v>139</v>
      </c>
      <c r="Y101">
        <v>165.1</v>
      </c>
      <c r="Z101">
        <v>10731.5</v>
      </c>
      <c r="AC101">
        <v>0</v>
      </c>
    </row>
    <row r="102" spans="1:29">
      <c r="A102" t="s">
        <v>130</v>
      </c>
      <c r="B102" t="s">
        <v>81</v>
      </c>
      <c r="C102" t="s">
        <v>161</v>
      </c>
      <c r="D102" t="s">
        <v>82</v>
      </c>
      <c r="E102" t="s">
        <v>132</v>
      </c>
      <c r="F102" t="s">
        <v>142</v>
      </c>
      <c r="G102">
        <v>65</v>
      </c>
      <c r="H102">
        <v>65</v>
      </c>
      <c r="I102" s="16">
        <v>0.47366898148148145</v>
      </c>
      <c r="J102">
        <v>1210040158</v>
      </c>
      <c r="K102" t="s">
        <v>134</v>
      </c>
      <c r="L102">
        <v>155.5</v>
      </c>
      <c r="M102">
        <v>0</v>
      </c>
      <c r="N102" s="16">
        <v>0.47366898148148145</v>
      </c>
      <c r="O102" t="s">
        <v>135</v>
      </c>
      <c r="P102">
        <v>1500000058280860</v>
      </c>
      <c r="Q102" t="s">
        <v>130</v>
      </c>
      <c r="S102" t="s">
        <v>136</v>
      </c>
      <c r="T102" t="s">
        <v>145</v>
      </c>
      <c r="U102" t="s">
        <v>130</v>
      </c>
      <c r="V102" t="s">
        <v>138</v>
      </c>
      <c r="W102">
        <v>0</v>
      </c>
      <c r="X102" t="s">
        <v>139</v>
      </c>
      <c r="Y102">
        <v>158.94999999999999</v>
      </c>
      <c r="Z102">
        <v>10331.75</v>
      </c>
      <c r="AC102">
        <v>0</v>
      </c>
    </row>
    <row r="103" spans="1:29">
      <c r="A103" t="s">
        <v>130</v>
      </c>
      <c r="B103" t="s">
        <v>81</v>
      </c>
      <c r="C103" t="s">
        <v>160</v>
      </c>
      <c r="D103" t="s">
        <v>82</v>
      </c>
      <c r="E103" t="s">
        <v>132</v>
      </c>
      <c r="F103" t="s">
        <v>133</v>
      </c>
      <c r="G103">
        <v>65</v>
      </c>
      <c r="H103">
        <v>65</v>
      </c>
      <c r="I103" s="16">
        <v>0.47365740740740742</v>
      </c>
      <c r="J103">
        <v>1210040157</v>
      </c>
      <c r="K103" t="s">
        <v>134</v>
      </c>
      <c r="L103">
        <v>168.25</v>
      </c>
      <c r="M103">
        <v>0</v>
      </c>
      <c r="N103" s="16">
        <v>0.47365740740740742</v>
      </c>
      <c r="O103" t="s">
        <v>135</v>
      </c>
      <c r="P103">
        <v>1500000058275000</v>
      </c>
      <c r="Q103" t="s">
        <v>130</v>
      </c>
      <c r="S103" t="s">
        <v>136</v>
      </c>
      <c r="T103" t="s">
        <v>145</v>
      </c>
      <c r="U103" t="s">
        <v>130</v>
      </c>
      <c r="V103" t="s">
        <v>138</v>
      </c>
      <c r="W103">
        <v>0</v>
      </c>
      <c r="X103" t="s">
        <v>139</v>
      </c>
      <c r="Y103">
        <v>165.05</v>
      </c>
      <c r="Z103">
        <v>10728.25</v>
      </c>
      <c r="AC103">
        <v>0</v>
      </c>
    </row>
    <row r="104" spans="1:29">
      <c r="A104" t="s">
        <v>130</v>
      </c>
      <c r="B104" t="s">
        <v>81</v>
      </c>
      <c r="C104" t="s">
        <v>160</v>
      </c>
      <c r="D104" t="s">
        <v>82</v>
      </c>
      <c r="E104" t="s">
        <v>132</v>
      </c>
      <c r="F104" t="s">
        <v>142</v>
      </c>
      <c r="G104">
        <v>65</v>
      </c>
      <c r="H104">
        <v>65</v>
      </c>
      <c r="I104" s="16">
        <v>0.4576736111111111</v>
      </c>
      <c r="J104">
        <v>1210040152</v>
      </c>
      <c r="K104" t="s">
        <v>134</v>
      </c>
      <c r="L104">
        <v>170.1</v>
      </c>
      <c r="M104">
        <v>0</v>
      </c>
      <c r="N104" s="16">
        <v>0.4576736111111111</v>
      </c>
      <c r="O104" t="s">
        <v>135</v>
      </c>
      <c r="P104">
        <v>1500000050163630</v>
      </c>
      <c r="Q104" t="s">
        <v>130</v>
      </c>
      <c r="S104" t="s">
        <v>136</v>
      </c>
      <c r="T104" t="s">
        <v>145</v>
      </c>
      <c r="U104" t="s">
        <v>130</v>
      </c>
      <c r="V104" t="s">
        <v>138</v>
      </c>
      <c r="W104">
        <v>0</v>
      </c>
      <c r="X104" t="s">
        <v>139</v>
      </c>
      <c r="Y104">
        <v>173.8</v>
      </c>
      <c r="Z104">
        <v>11297</v>
      </c>
      <c r="AC104">
        <v>0</v>
      </c>
    </row>
    <row r="105" spans="1:29">
      <c r="A105" t="s">
        <v>130</v>
      </c>
      <c r="B105" t="s">
        <v>81</v>
      </c>
      <c r="C105" t="s">
        <v>161</v>
      </c>
      <c r="D105" t="s">
        <v>82</v>
      </c>
      <c r="E105" t="s">
        <v>132</v>
      </c>
      <c r="F105" t="s">
        <v>133</v>
      </c>
      <c r="G105">
        <v>65</v>
      </c>
      <c r="H105">
        <v>65</v>
      </c>
      <c r="I105" s="16">
        <v>0.45766203703703706</v>
      </c>
      <c r="J105">
        <v>1210040151</v>
      </c>
      <c r="K105" t="s">
        <v>134</v>
      </c>
      <c r="L105">
        <v>159.4</v>
      </c>
      <c r="M105">
        <v>0</v>
      </c>
      <c r="N105" s="16">
        <v>0.45766203703703706</v>
      </c>
      <c r="O105" t="s">
        <v>135</v>
      </c>
      <c r="P105">
        <v>1500000050156560</v>
      </c>
      <c r="Q105" t="s">
        <v>130</v>
      </c>
      <c r="S105" t="s">
        <v>136</v>
      </c>
      <c r="T105" t="s">
        <v>145</v>
      </c>
      <c r="U105" t="s">
        <v>130</v>
      </c>
      <c r="V105" t="s">
        <v>138</v>
      </c>
      <c r="W105">
        <v>0</v>
      </c>
      <c r="X105" t="s">
        <v>139</v>
      </c>
      <c r="Y105">
        <v>155.6</v>
      </c>
      <c r="Z105">
        <v>10114</v>
      </c>
      <c r="AC105">
        <v>0</v>
      </c>
    </row>
    <row r="106" spans="1:29">
      <c r="A106" t="s">
        <v>130</v>
      </c>
      <c r="B106" t="s">
        <v>81</v>
      </c>
      <c r="C106" t="s">
        <v>160</v>
      </c>
      <c r="D106" t="s">
        <v>82</v>
      </c>
      <c r="E106" t="s">
        <v>132</v>
      </c>
      <c r="F106" t="s">
        <v>142</v>
      </c>
      <c r="G106">
        <v>65</v>
      </c>
      <c r="H106">
        <v>65</v>
      </c>
      <c r="I106" s="16">
        <v>0.45766203703703706</v>
      </c>
      <c r="J106">
        <v>1210040150</v>
      </c>
      <c r="K106" t="s">
        <v>134</v>
      </c>
      <c r="L106">
        <v>168.55</v>
      </c>
      <c r="M106">
        <v>0</v>
      </c>
      <c r="N106" s="16">
        <v>0.45766203703703706</v>
      </c>
      <c r="O106" t="s">
        <v>135</v>
      </c>
      <c r="P106">
        <v>1500000050156210</v>
      </c>
      <c r="Q106" t="s">
        <v>130</v>
      </c>
      <c r="S106" t="s">
        <v>136</v>
      </c>
      <c r="T106" t="s">
        <v>145</v>
      </c>
      <c r="U106" t="s">
        <v>130</v>
      </c>
      <c r="V106" t="s">
        <v>138</v>
      </c>
      <c r="W106">
        <v>0</v>
      </c>
      <c r="X106" t="s">
        <v>139</v>
      </c>
      <c r="Y106">
        <v>173.55</v>
      </c>
      <c r="Z106">
        <v>11280.75</v>
      </c>
      <c r="AC106">
        <v>0</v>
      </c>
    </row>
    <row r="107" spans="1:29">
      <c r="A107" t="s">
        <v>130</v>
      </c>
      <c r="B107" t="s">
        <v>81</v>
      </c>
      <c r="C107" t="s">
        <v>161</v>
      </c>
      <c r="D107" t="s">
        <v>82</v>
      </c>
      <c r="E107" t="s">
        <v>132</v>
      </c>
      <c r="F107" t="s">
        <v>133</v>
      </c>
      <c r="G107">
        <v>65</v>
      </c>
      <c r="H107">
        <v>65</v>
      </c>
      <c r="I107" s="16">
        <v>0.45765046296296297</v>
      </c>
      <c r="J107">
        <v>1210040149</v>
      </c>
      <c r="K107" t="s">
        <v>134</v>
      </c>
      <c r="L107">
        <v>159.4</v>
      </c>
      <c r="M107">
        <v>0</v>
      </c>
      <c r="N107" s="16">
        <v>0.45765046296296297</v>
      </c>
      <c r="O107" t="s">
        <v>135</v>
      </c>
      <c r="P107">
        <v>1500000050151800</v>
      </c>
      <c r="Q107" t="s">
        <v>130</v>
      </c>
      <c r="S107" t="s">
        <v>136</v>
      </c>
      <c r="T107" t="s">
        <v>145</v>
      </c>
      <c r="U107" t="s">
        <v>130</v>
      </c>
      <c r="V107" t="s">
        <v>138</v>
      </c>
      <c r="W107">
        <v>0</v>
      </c>
      <c r="X107" t="s">
        <v>139</v>
      </c>
      <c r="Y107">
        <v>155.5</v>
      </c>
      <c r="Z107">
        <v>10107.5</v>
      </c>
      <c r="AC107">
        <v>0</v>
      </c>
    </row>
    <row r="108" spans="1:29">
      <c r="A108" t="s">
        <v>130</v>
      </c>
      <c r="B108" t="s">
        <v>81</v>
      </c>
      <c r="C108" t="s">
        <v>161</v>
      </c>
      <c r="D108" t="s">
        <v>82</v>
      </c>
      <c r="E108" t="s">
        <v>132</v>
      </c>
      <c r="F108" t="s">
        <v>142</v>
      </c>
      <c r="G108">
        <v>65</v>
      </c>
      <c r="H108">
        <v>65</v>
      </c>
      <c r="I108" s="16">
        <v>0.45076388888888891</v>
      </c>
      <c r="J108">
        <v>1210040148</v>
      </c>
      <c r="K108" t="s">
        <v>134</v>
      </c>
      <c r="L108">
        <v>159.15</v>
      </c>
      <c r="M108">
        <v>0</v>
      </c>
      <c r="N108" s="16">
        <v>0.45076388888888891</v>
      </c>
      <c r="O108" t="s">
        <v>135</v>
      </c>
      <c r="P108">
        <v>1500000046524100</v>
      </c>
      <c r="Q108" t="s">
        <v>130</v>
      </c>
      <c r="S108" t="s">
        <v>136</v>
      </c>
      <c r="T108" t="s">
        <v>145</v>
      </c>
      <c r="U108" t="s">
        <v>130</v>
      </c>
      <c r="V108" t="s">
        <v>138</v>
      </c>
      <c r="W108">
        <v>0</v>
      </c>
      <c r="X108" t="s">
        <v>139</v>
      </c>
      <c r="Y108">
        <v>161.94999999999999</v>
      </c>
      <c r="Z108">
        <v>10526.75</v>
      </c>
      <c r="AC108">
        <v>0</v>
      </c>
    </row>
    <row r="109" spans="1:29">
      <c r="A109" t="s">
        <v>130</v>
      </c>
      <c r="B109" t="s">
        <v>81</v>
      </c>
      <c r="C109" t="s">
        <v>160</v>
      </c>
      <c r="D109" t="s">
        <v>82</v>
      </c>
      <c r="E109" t="s">
        <v>132</v>
      </c>
      <c r="F109" t="s">
        <v>133</v>
      </c>
      <c r="G109">
        <v>65</v>
      </c>
      <c r="H109">
        <v>65</v>
      </c>
      <c r="I109" s="16">
        <v>0.45075231481481481</v>
      </c>
      <c r="J109">
        <v>1210040147</v>
      </c>
      <c r="K109" t="s">
        <v>134</v>
      </c>
      <c r="L109">
        <v>168.55</v>
      </c>
      <c r="M109">
        <v>0</v>
      </c>
      <c r="N109" s="16">
        <v>0.45075231481481481</v>
      </c>
      <c r="O109" t="s">
        <v>135</v>
      </c>
      <c r="P109">
        <v>1500000046520510</v>
      </c>
      <c r="Q109" t="s">
        <v>130</v>
      </c>
      <c r="S109" t="s">
        <v>136</v>
      </c>
      <c r="T109" t="s">
        <v>145</v>
      </c>
      <c r="U109" t="s">
        <v>130</v>
      </c>
      <c r="V109" t="s">
        <v>138</v>
      </c>
      <c r="W109">
        <v>0</v>
      </c>
      <c r="X109" t="s">
        <v>139</v>
      </c>
      <c r="Y109">
        <v>165.55</v>
      </c>
      <c r="Z109">
        <v>10760.75</v>
      </c>
      <c r="AC109">
        <v>0</v>
      </c>
    </row>
    <row r="110" spans="1:29">
      <c r="A110" t="s">
        <v>130</v>
      </c>
      <c r="B110" t="s">
        <v>81</v>
      </c>
      <c r="C110" t="s">
        <v>161</v>
      </c>
      <c r="D110" t="s">
        <v>82</v>
      </c>
      <c r="E110" t="s">
        <v>132</v>
      </c>
      <c r="F110" t="s">
        <v>142</v>
      </c>
      <c r="G110">
        <v>65</v>
      </c>
      <c r="H110">
        <v>65</v>
      </c>
      <c r="I110" s="16">
        <v>0.45075231481481481</v>
      </c>
      <c r="J110">
        <v>1210040146</v>
      </c>
      <c r="K110" t="s">
        <v>134</v>
      </c>
      <c r="L110">
        <v>158.6</v>
      </c>
      <c r="M110">
        <v>0</v>
      </c>
      <c r="N110" s="16">
        <v>0.45075231481481481</v>
      </c>
      <c r="O110" t="s">
        <v>135</v>
      </c>
      <c r="P110">
        <v>1500000046519380</v>
      </c>
      <c r="Q110" t="s">
        <v>130</v>
      </c>
      <c r="S110" t="s">
        <v>136</v>
      </c>
      <c r="T110" t="s">
        <v>145</v>
      </c>
      <c r="U110" t="s">
        <v>130</v>
      </c>
      <c r="V110" t="s">
        <v>138</v>
      </c>
      <c r="W110">
        <v>0</v>
      </c>
      <c r="X110" t="s">
        <v>139</v>
      </c>
      <c r="Y110">
        <v>162</v>
      </c>
      <c r="Z110">
        <v>10530</v>
      </c>
      <c r="AC110">
        <v>0</v>
      </c>
    </row>
    <row r="111" spans="1:29">
      <c r="A111" t="s">
        <v>130</v>
      </c>
      <c r="B111" t="s">
        <v>81</v>
      </c>
      <c r="C111" t="s">
        <v>160</v>
      </c>
      <c r="D111" t="s">
        <v>82</v>
      </c>
      <c r="E111" t="s">
        <v>132</v>
      </c>
      <c r="F111" t="s">
        <v>133</v>
      </c>
      <c r="G111">
        <v>65</v>
      </c>
      <c r="H111">
        <v>65</v>
      </c>
      <c r="I111" s="16">
        <v>0.45074074074074072</v>
      </c>
      <c r="J111">
        <v>1210040145</v>
      </c>
      <c r="K111" t="s">
        <v>134</v>
      </c>
      <c r="L111">
        <v>168.85</v>
      </c>
      <c r="M111">
        <v>0</v>
      </c>
      <c r="N111" s="16">
        <v>0.45074074074074072</v>
      </c>
      <c r="O111" t="s">
        <v>135</v>
      </c>
      <c r="P111">
        <v>1500000046515200</v>
      </c>
      <c r="Q111" t="s">
        <v>130</v>
      </c>
      <c r="S111" t="s">
        <v>136</v>
      </c>
      <c r="T111" t="s">
        <v>145</v>
      </c>
      <c r="U111" t="s">
        <v>130</v>
      </c>
      <c r="V111" t="s">
        <v>138</v>
      </c>
      <c r="W111">
        <v>0</v>
      </c>
      <c r="X111" t="s">
        <v>139</v>
      </c>
      <c r="Y111">
        <v>165.5</v>
      </c>
      <c r="Z111">
        <v>10757.5</v>
      </c>
      <c r="AC111">
        <v>0</v>
      </c>
    </row>
    <row r="112" spans="1:29">
      <c r="A112" t="s">
        <v>130</v>
      </c>
      <c r="B112" t="s">
        <v>81</v>
      </c>
      <c r="C112" t="s">
        <v>160</v>
      </c>
      <c r="D112" t="s">
        <v>82</v>
      </c>
      <c r="E112" t="s">
        <v>132</v>
      </c>
      <c r="F112" t="s">
        <v>142</v>
      </c>
      <c r="G112">
        <v>130</v>
      </c>
      <c r="H112">
        <v>130</v>
      </c>
      <c r="I112" s="16">
        <v>0.4445486111111111</v>
      </c>
      <c r="J112">
        <v>1210040140</v>
      </c>
      <c r="K112" t="s">
        <v>134</v>
      </c>
      <c r="L112">
        <v>167.8</v>
      </c>
      <c r="M112">
        <v>0</v>
      </c>
      <c r="N112" s="16">
        <v>0.4445486111111111</v>
      </c>
      <c r="O112" t="s">
        <v>135</v>
      </c>
      <c r="P112">
        <v>1500000043182870</v>
      </c>
      <c r="Q112" t="s">
        <v>130</v>
      </c>
      <c r="S112" t="s">
        <v>136</v>
      </c>
      <c r="T112" t="s">
        <v>145</v>
      </c>
      <c r="U112" t="s">
        <v>130</v>
      </c>
      <c r="V112" t="s">
        <v>138</v>
      </c>
      <c r="W112">
        <v>0</v>
      </c>
      <c r="X112" t="s">
        <v>139</v>
      </c>
      <c r="Y112">
        <v>171.3</v>
      </c>
      <c r="Z112">
        <v>22269</v>
      </c>
      <c r="AC112">
        <v>0</v>
      </c>
    </row>
    <row r="113" spans="1:29">
      <c r="A113" t="s">
        <v>130</v>
      </c>
      <c r="B113" t="s">
        <v>81</v>
      </c>
      <c r="C113" t="s">
        <v>161</v>
      </c>
      <c r="D113" t="s">
        <v>82</v>
      </c>
      <c r="E113" t="s">
        <v>132</v>
      </c>
      <c r="F113" t="s">
        <v>133</v>
      </c>
      <c r="G113">
        <v>65</v>
      </c>
      <c r="H113">
        <v>130</v>
      </c>
      <c r="I113" s="16">
        <v>0.44453703703703706</v>
      </c>
      <c r="J113">
        <v>1210040139</v>
      </c>
      <c r="K113" t="s">
        <v>134</v>
      </c>
      <c r="L113">
        <v>161.65</v>
      </c>
      <c r="M113">
        <v>0</v>
      </c>
      <c r="N113" s="16">
        <v>0.44453703703703706</v>
      </c>
      <c r="O113" t="s">
        <v>135</v>
      </c>
      <c r="P113">
        <v>1500000043170830</v>
      </c>
      <c r="Q113" t="s">
        <v>130</v>
      </c>
      <c r="S113" t="s">
        <v>136</v>
      </c>
      <c r="T113" t="s">
        <v>145</v>
      </c>
      <c r="U113" t="s">
        <v>130</v>
      </c>
      <c r="V113" t="s">
        <v>138</v>
      </c>
      <c r="W113">
        <v>0</v>
      </c>
      <c r="X113" t="s">
        <v>139</v>
      </c>
      <c r="Y113">
        <v>158.63</v>
      </c>
      <c r="Z113">
        <v>20621.25</v>
      </c>
      <c r="AC113">
        <v>0</v>
      </c>
    </row>
    <row r="114" spans="1:29">
      <c r="A114" t="s">
        <v>130</v>
      </c>
      <c r="B114" t="s">
        <v>81</v>
      </c>
      <c r="C114" t="s">
        <v>161</v>
      </c>
      <c r="D114" t="s">
        <v>82</v>
      </c>
      <c r="E114" t="s">
        <v>132</v>
      </c>
      <c r="F114" t="s">
        <v>133</v>
      </c>
      <c r="G114">
        <v>65</v>
      </c>
      <c r="H114">
        <v>130</v>
      </c>
      <c r="I114" s="16">
        <v>0.44453703703703706</v>
      </c>
      <c r="J114">
        <v>1210040139</v>
      </c>
      <c r="K114" t="s">
        <v>134</v>
      </c>
      <c r="L114">
        <v>161.65</v>
      </c>
      <c r="M114">
        <v>0</v>
      </c>
      <c r="N114" s="16">
        <v>0.44453703703703706</v>
      </c>
      <c r="O114" t="s">
        <v>140</v>
      </c>
      <c r="P114">
        <v>1500000043170830</v>
      </c>
      <c r="Q114" t="s">
        <v>130</v>
      </c>
      <c r="S114" t="s">
        <v>136</v>
      </c>
      <c r="T114" t="s">
        <v>145</v>
      </c>
      <c r="U114" t="s">
        <v>130</v>
      </c>
      <c r="V114" t="s">
        <v>138</v>
      </c>
      <c r="W114">
        <v>65</v>
      </c>
      <c r="X114" t="s">
        <v>139</v>
      </c>
      <c r="Y114">
        <v>158.6</v>
      </c>
      <c r="Z114">
        <v>10309</v>
      </c>
      <c r="AC114">
        <v>0</v>
      </c>
    </row>
    <row r="115" spans="1:29">
      <c r="A115" t="s">
        <v>130</v>
      </c>
      <c r="B115" t="s">
        <v>81</v>
      </c>
      <c r="C115" t="s">
        <v>160</v>
      </c>
      <c r="D115" t="s">
        <v>82</v>
      </c>
      <c r="E115" t="s">
        <v>132</v>
      </c>
      <c r="F115" t="s">
        <v>142</v>
      </c>
      <c r="G115">
        <v>130</v>
      </c>
      <c r="H115">
        <v>130</v>
      </c>
      <c r="I115" s="16">
        <v>0.44452546296296297</v>
      </c>
      <c r="J115">
        <v>1210040138</v>
      </c>
      <c r="K115" t="s">
        <v>134</v>
      </c>
      <c r="L115">
        <v>167.75</v>
      </c>
      <c r="M115">
        <v>0</v>
      </c>
      <c r="N115" s="16">
        <v>0.44452546296296297</v>
      </c>
      <c r="O115" t="s">
        <v>135</v>
      </c>
      <c r="P115">
        <v>1500000043168620</v>
      </c>
      <c r="Q115" t="s">
        <v>130</v>
      </c>
      <c r="S115" t="s">
        <v>136</v>
      </c>
      <c r="T115" t="s">
        <v>145</v>
      </c>
      <c r="U115" t="s">
        <v>130</v>
      </c>
      <c r="V115" t="s">
        <v>138</v>
      </c>
      <c r="W115">
        <v>0</v>
      </c>
      <c r="X115" t="s">
        <v>139</v>
      </c>
      <c r="Y115">
        <v>171.2</v>
      </c>
      <c r="Z115">
        <v>22256</v>
      </c>
      <c r="AC115">
        <v>0</v>
      </c>
    </row>
    <row r="116" spans="1:29">
      <c r="A116" t="s">
        <v>130</v>
      </c>
      <c r="B116" t="s">
        <v>81</v>
      </c>
      <c r="C116" t="s">
        <v>161</v>
      </c>
      <c r="D116" t="s">
        <v>82</v>
      </c>
      <c r="E116" t="s">
        <v>132</v>
      </c>
      <c r="F116" t="s">
        <v>133</v>
      </c>
      <c r="G116">
        <v>130</v>
      </c>
      <c r="H116">
        <v>130</v>
      </c>
      <c r="I116" s="16">
        <v>0.44452546296296297</v>
      </c>
      <c r="J116">
        <v>1210040137</v>
      </c>
      <c r="K116" t="s">
        <v>134</v>
      </c>
      <c r="L116">
        <v>161.65</v>
      </c>
      <c r="M116">
        <v>0</v>
      </c>
      <c r="N116" s="16">
        <v>0.44452546296296297</v>
      </c>
      <c r="O116" t="s">
        <v>135</v>
      </c>
      <c r="P116">
        <v>1500000043168550</v>
      </c>
      <c r="Q116" t="s">
        <v>130</v>
      </c>
      <c r="S116" t="s">
        <v>136</v>
      </c>
      <c r="T116" t="s">
        <v>145</v>
      </c>
      <c r="U116" t="s">
        <v>130</v>
      </c>
      <c r="V116" t="s">
        <v>138</v>
      </c>
      <c r="W116">
        <v>0</v>
      </c>
      <c r="X116" t="s">
        <v>139</v>
      </c>
      <c r="Y116">
        <v>158.69999999999999</v>
      </c>
      <c r="Z116">
        <v>20631</v>
      </c>
      <c r="AC116">
        <v>0</v>
      </c>
    </row>
    <row r="117" spans="1:29">
      <c r="A117" t="s">
        <v>130</v>
      </c>
      <c r="B117" t="s">
        <v>81</v>
      </c>
      <c r="C117" t="s">
        <v>161</v>
      </c>
      <c r="D117" t="s">
        <v>82</v>
      </c>
      <c r="E117" t="s">
        <v>132</v>
      </c>
      <c r="F117" t="s">
        <v>133</v>
      </c>
      <c r="G117">
        <v>65</v>
      </c>
      <c r="H117">
        <v>65</v>
      </c>
      <c r="I117" s="16">
        <v>0.43892361111111111</v>
      </c>
      <c r="J117">
        <v>1210040136</v>
      </c>
      <c r="K117" t="s">
        <v>134</v>
      </c>
      <c r="L117">
        <v>162.05000000000001</v>
      </c>
      <c r="M117">
        <v>0</v>
      </c>
      <c r="N117" s="16">
        <v>0.43892361111111111</v>
      </c>
      <c r="O117" t="s">
        <v>135</v>
      </c>
      <c r="P117">
        <v>1500000038872280</v>
      </c>
      <c r="Q117" t="s">
        <v>130</v>
      </c>
      <c r="S117" t="s">
        <v>136</v>
      </c>
      <c r="T117" t="s">
        <v>145</v>
      </c>
      <c r="U117" t="s">
        <v>130</v>
      </c>
      <c r="V117" t="s">
        <v>138</v>
      </c>
      <c r="W117">
        <v>0</v>
      </c>
      <c r="X117" t="s">
        <v>139</v>
      </c>
      <c r="Y117">
        <v>159.25</v>
      </c>
      <c r="Z117">
        <v>10351.25</v>
      </c>
      <c r="AC117">
        <v>0</v>
      </c>
    </row>
    <row r="118" spans="1:29">
      <c r="A118" t="s">
        <v>130</v>
      </c>
      <c r="B118" t="s">
        <v>81</v>
      </c>
      <c r="C118" t="s">
        <v>160</v>
      </c>
      <c r="D118" t="s">
        <v>82</v>
      </c>
      <c r="E118" t="s">
        <v>132</v>
      </c>
      <c r="F118" t="s">
        <v>142</v>
      </c>
      <c r="G118">
        <v>65</v>
      </c>
      <c r="H118">
        <v>65</v>
      </c>
      <c r="I118" s="16">
        <v>0.43892361111111111</v>
      </c>
      <c r="J118">
        <v>1210040135</v>
      </c>
      <c r="K118" t="s">
        <v>134</v>
      </c>
      <c r="L118">
        <v>169.65</v>
      </c>
      <c r="M118">
        <v>0</v>
      </c>
      <c r="N118" s="16">
        <v>0.43892361111111111</v>
      </c>
      <c r="O118" t="s">
        <v>135</v>
      </c>
      <c r="P118">
        <v>1500000038871980</v>
      </c>
      <c r="Q118" t="s">
        <v>130</v>
      </c>
      <c r="S118" t="s">
        <v>136</v>
      </c>
      <c r="T118" t="s">
        <v>145</v>
      </c>
      <c r="U118" t="s">
        <v>130</v>
      </c>
      <c r="V118" t="s">
        <v>138</v>
      </c>
      <c r="W118">
        <v>0</v>
      </c>
      <c r="X118" t="s">
        <v>139</v>
      </c>
      <c r="Y118">
        <v>172.25</v>
      </c>
      <c r="Z118">
        <v>11196.25</v>
      </c>
      <c r="AC118">
        <v>0</v>
      </c>
    </row>
    <row r="119" spans="1:29">
      <c r="A119" t="s">
        <v>130</v>
      </c>
      <c r="B119" t="s">
        <v>81</v>
      </c>
      <c r="C119" t="s">
        <v>160</v>
      </c>
      <c r="D119" t="s">
        <v>82</v>
      </c>
      <c r="E119" t="s">
        <v>132</v>
      </c>
      <c r="F119" t="s">
        <v>133</v>
      </c>
      <c r="G119">
        <v>130</v>
      </c>
      <c r="H119">
        <v>130</v>
      </c>
      <c r="I119" s="16">
        <v>0.4271875</v>
      </c>
      <c r="J119">
        <v>1210040130</v>
      </c>
      <c r="K119" t="s">
        <v>134</v>
      </c>
      <c r="L119">
        <v>166.75</v>
      </c>
      <c r="M119">
        <v>0</v>
      </c>
      <c r="N119" s="16">
        <v>0.4271875</v>
      </c>
      <c r="O119" t="s">
        <v>135</v>
      </c>
      <c r="P119">
        <v>1500000032788300</v>
      </c>
      <c r="Q119" t="s">
        <v>130</v>
      </c>
      <c r="S119" t="s">
        <v>136</v>
      </c>
      <c r="T119" t="s">
        <v>145</v>
      </c>
      <c r="U119" t="s">
        <v>130</v>
      </c>
      <c r="V119" t="s">
        <v>138</v>
      </c>
      <c r="W119">
        <v>0</v>
      </c>
      <c r="X119" t="s">
        <v>139</v>
      </c>
      <c r="Y119">
        <v>163.95</v>
      </c>
      <c r="Z119">
        <v>21313.5</v>
      </c>
      <c r="AC119">
        <v>0</v>
      </c>
    </row>
    <row r="120" spans="1:29">
      <c r="A120" t="s">
        <v>130</v>
      </c>
      <c r="B120" t="s">
        <v>81</v>
      </c>
      <c r="C120" t="s">
        <v>161</v>
      </c>
      <c r="D120" t="s">
        <v>82</v>
      </c>
      <c r="E120" t="s">
        <v>132</v>
      </c>
      <c r="F120" t="s">
        <v>142</v>
      </c>
      <c r="G120">
        <v>130</v>
      </c>
      <c r="H120">
        <v>130</v>
      </c>
      <c r="I120" s="16">
        <v>0.4271875</v>
      </c>
      <c r="J120">
        <v>1210040129</v>
      </c>
      <c r="K120" t="s">
        <v>134</v>
      </c>
      <c r="L120">
        <v>165.2</v>
      </c>
      <c r="M120">
        <v>0</v>
      </c>
      <c r="N120" s="16">
        <v>0.4271875</v>
      </c>
      <c r="O120" t="s">
        <v>135</v>
      </c>
      <c r="P120">
        <v>1500000032788010</v>
      </c>
      <c r="Q120" t="s">
        <v>130</v>
      </c>
      <c r="S120" t="s">
        <v>136</v>
      </c>
      <c r="T120" t="s">
        <v>145</v>
      </c>
      <c r="U120" t="s">
        <v>130</v>
      </c>
      <c r="V120" t="s">
        <v>138</v>
      </c>
      <c r="W120">
        <v>0</v>
      </c>
      <c r="X120" t="s">
        <v>139</v>
      </c>
      <c r="Y120">
        <v>168.1</v>
      </c>
      <c r="Z120">
        <v>21853</v>
      </c>
      <c r="AC120">
        <v>0</v>
      </c>
    </row>
    <row r="121" spans="1:29">
      <c r="A121" t="s">
        <v>130</v>
      </c>
      <c r="B121" t="s">
        <v>81</v>
      </c>
      <c r="C121" t="s">
        <v>160</v>
      </c>
      <c r="D121" t="s">
        <v>82</v>
      </c>
      <c r="E121" t="s">
        <v>132</v>
      </c>
      <c r="F121" t="s">
        <v>142</v>
      </c>
      <c r="G121">
        <v>65</v>
      </c>
      <c r="H121">
        <v>65</v>
      </c>
      <c r="I121" s="16">
        <v>0.41085648148148146</v>
      </c>
      <c r="J121">
        <v>1210040128</v>
      </c>
      <c r="K121" t="s">
        <v>134</v>
      </c>
      <c r="L121">
        <v>163.25</v>
      </c>
      <c r="M121">
        <v>0</v>
      </c>
      <c r="N121" s="16">
        <v>0.41085648148148146</v>
      </c>
      <c r="O121" t="s">
        <v>135</v>
      </c>
      <c r="P121">
        <v>1500000021924870</v>
      </c>
      <c r="Q121" t="s">
        <v>130</v>
      </c>
      <c r="S121" t="s">
        <v>136</v>
      </c>
      <c r="T121" t="s">
        <v>145</v>
      </c>
      <c r="U121" t="s">
        <v>130</v>
      </c>
      <c r="V121" t="s">
        <v>138</v>
      </c>
      <c r="W121">
        <v>0</v>
      </c>
      <c r="X121" t="s">
        <v>139</v>
      </c>
      <c r="Y121">
        <v>166.4</v>
      </c>
      <c r="Z121">
        <v>10816</v>
      </c>
      <c r="AC121">
        <v>0</v>
      </c>
    </row>
    <row r="122" spans="1:29">
      <c r="A122" t="s">
        <v>130</v>
      </c>
      <c r="B122" t="s">
        <v>81</v>
      </c>
      <c r="C122" t="s">
        <v>161</v>
      </c>
      <c r="D122" t="s">
        <v>82</v>
      </c>
      <c r="E122" t="s">
        <v>132</v>
      </c>
      <c r="F122" t="s">
        <v>133</v>
      </c>
      <c r="G122">
        <v>65</v>
      </c>
      <c r="H122">
        <v>65</v>
      </c>
      <c r="I122" s="16">
        <v>0.41083333333333333</v>
      </c>
      <c r="J122">
        <v>1210040127</v>
      </c>
      <c r="K122" t="s">
        <v>134</v>
      </c>
      <c r="L122">
        <v>173.45</v>
      </c>
      <c r="M122">
        <v>0</v>
      </c>
      <c r="N122" s="16">
        <v>0.41083333333333333</v>
      </c>
      <c r="O122" t="s">
        <v>135</v>
      </c>
      <c r="P122">
        <v>1500000021914930</v>
      </c>
      <c r="Q122" t="s">
        <v>130</v>
      </c>
      <c r="S122" t="s">
        <v>136</v>
      </c>
      <c r="T122" t="s">
        <v>145</v>
      </c>
      <c r="U122" t="s">
        <v>130</v>
      </c>
      <c r="V122" t="s">
        <v>138</v>
      </c>
      <c r="W122">
        <v>0</v>
      </c>
      <c r="X122" t="s">
        <v>139</v>
      </c>
      <c r="Y122">
        <v>170.85</v>
      </c>
      <c r="Z122">
        <v>11105.25</v>
      </c>
      <c r="AC122">
        <v>0</v>
      </c>
    </row>
    <row r="123" spans="1:29">
      <c r="A123" t="s">
        <v>130</v>
      </c>
      <c r="B123" t="s">
        <v>81</v>
      </c>
      <c r="C123" t="s">
        <v>161</v>
      </c>
      <c r="D123" t="s">
        <v>82</v>
      </c>
      <c r="E123" t="s">
        <v>132</v>
      </c>
      <c r="F123" t="s">
        <v>142</v>
      </c>
      <c r="G123">
        <v>65</v>
      </c>
      <c r="H123">
        <v>65</v>
      </c>
      <c r="I123" s="16">
        <v>0.40283564814814815</v>
      </c>
      <c r="J123">
        <v>1210040126</v>
      </c>
      <c r="K123" t="s">
        <v>134</v>
      </c>
      <c r="L123">
        <v>166.65</v>
      </c>
      <c r="M123">
        <v>0</v>
      </c>
      <c r="N123" s="16">
        <v>0.40283564814814815</v>
      </c>
      <c r="O123" t="s">
        <v>135</v>
      </c>
      <c r="P123">
        <v>1500000016465460</v>
      </c>
      <c r="Q123" t="s">
        <v>130</v>
      </c>
      <c r="S123" t="s">
        <v>136</v>
      </c>
      <c r="T123" t="s">
        <v>145</v>
      </c>
      <c r="U123" t="s">
        <v>130</v>
      </c>
      <c r="V123" t="s">
        <v>138</v>
      </c>
      <c r="W123">
        <v>0</v>
      </c>
      <c r="X123" t="s">
        <v>139</v>
      </c>
      <c r="Y123">
        <v>170.4</v>
      </c>
      <c r="Z123">
        <v>11076</v>
      </c>
      <c r="AC123">
        <v>0</v>
      </c>
    </row>
    <row r="124" spans="1:29">
      <c r="A124" t="s">
        <v>130</v>
      </c>
      <c r="B124" t="s">
        <v>81</v>
      </c>
      <c r="C124" t="s">
        <v>160</v>
      </c>
      <c r="D124" t="s">
        <v>82</v>
      </c>
      <c r="E124" t="s">
        <v>132</v>
      </c>
      <c r="F124" t="s">
        <v>133</v>
      </c>
      <c r="G124">
        <v>65</v>
      </c>
      <c r="H124">
        <v>65</v>
      </c>
      <c r="I124" s="16">
        <v>0.40283564814814815</v>
      </c>
      <c r="J124">
        <v>1210040125</v>
      </c>
      <c r="K124" t="s">
        <v>134</v>
      </c>
      <c r="L124">
        <v>171.3</v>
      </c>
      <c r="M124">
        <v>0</v>
      </c>
      <c r="N124" s="16">
        <v>0.40283564814814815</v>
      </c>
      <c r="O124" t="s">
        <v>135</v>
      </c>
      <c r="P124">
        <v>1500000016464880</v>
      </c>
      <c r="Q124" t="s">
        <v>130</v>
      </c>
      <c r="S124" t="s">
        <v>136</v>
      </c>
      <c r="T124" t="s">
        <v>145</v>
      </c>
      <c r="U124" t="s">
        <v>130</v>
      </c>
      <c r="V124" t="s">
        <v>138</v>
      </c>
      <c r="W124">
        <v>0</v>
      </c>
      <c r="X124" t="s">
        <v>139</v>
      </c>
      <c r="Y124">
        <v>168.15</v>
      </c>
      <c r="Z124">
        <v>10929.75</v>
      </c>
      <c r="AC124">
        <v>0</v>
      </c>
    </row>
    <row r="125" spans="1:29">
      <c r="A125" t="s">
        <v>130</v>
      </c>
      <c r="B125" t="s">
        <v>81</v>
      </c>
      <c r="C125" t="s">
        <v>176</v>
      </c>
      <c r="D125" t="s">
        <v>82</v>
      </c>
      <c r="E125" t="s">
        <v>132</v>
      </c>
      <c r="F125" t="s">
        <v>133</v>
      </c>
      <c r="G125">
        <v>65</v>
      </c>
      <c r="H125">
        <v>130</v>
      </c>
      <c r="I125" s="16">
        <v>0.39787037037037037</v>
      </c>
      <c r="J125">
        <v>1210063334</v>
      </c>
      <c r="K125" t="s">
        <v>134</v>
      </c>
      <c r="L125">
        <v>18.850000000000001</v>
      </c>
      <c r="M125">
        <v>0</v>
      </c>
      <c r="N125" s="16">
        <v>0.39787037037037037</v>
      </c>
      <c r="O125" t="s">
        <v>135</v>
      </c>
      <c r="P125">
        <v>1600000010788120</v>
      </c>
      <c r="Q125" t="s">
        <v>130</v>
      </c>
      <c r="S125" t="s">
        <v>136</v>
      </c>
      <c r="T125" t="s">
        <v>137</v>
      </c>
      <c r="U125" t="s">
        <v>130</v>
      </c>
      <c r="V125" t="s">
        <v>138</v>
      </c>
      <c r="W125">
        <v>0</v>
      </c>
      <c r="X125" t="s">
        <v>139</v>
      </c>
      <c r="Y125">
        <v>18.8</v>
      </c>
      <c r="Z125">
        <v>2444</v>
      </c>
      <c r="AC125">
        <v>0</v>
      </c>
    </row>
    <row r="126" spans="1:29">
      <c r="A126" t="s">
        <v>130</v>
      </c>
      <c r="B126" t="s">
        <v>81</v>
      </c>
      <c r="C126" t="s">
        <v>176</v>
      </c>
      <c r="D126" t="s">
        <v>82</v>
      </c>
      <c r="E126" t="s">
        <v>132</v>
      </c>
      <c r="F126" t="s">
        <v>133</v>
      </c>
      <c r="G126">
        <v>65</v>
      </c>
      <c r="H126">
        <v>130</v>
      </c>
      <c r="I126" s="16">
        <v>0.39787037037037037</v>
      </c>
      <c r="J126">
        <v>1210063334</v>
      </c>
      <c r="K126" t="s">
        <v>134</v>
      </c>
      <c r="L126">
        <v>18.850000000000001</v>
      </c>
      <c r="M126">
        <v>0</v>
      </c>
      <c r="N126" s="16">
        <v>0.39787037037037037</v>
      </c>
      <c r="O126" t="s">
        <v>140</v>
      </c>
      <c r="P126">
        <v>1600000010788120</v>
      </c>
      <c r="Q126" t="s">
        <v>130</v>
      </c>
      <c r="S126" t="s">
        <v>136</v>
      </c>
      <c r="T126" t="s">
        <v>137</v>
      </c>
      <c r="U126" t="s">
        <v>130</v>
      </c>
      <c r="V126" t="s">
        <v>138</v>
      </c>
      <c r="W126">
        <v>65</v>
      </c>
      <c r="X126" t="s">
        <v>139</v>
      </c>
      <c r="Y126">
        <v>18.8</v>
      </c>
      <c r="Z126">
        <v>1222</v>
      </c>
      <c r="AC126">
        <v>0</v>
      </c>
    </row>
    <row r="127" spans="1:29">
      <c r="A127" t="s">
        <v>130</v>
      </c>
      <c r="B127" t="s">
        <v>81</v>
      </c>
      <c r="C127" t="s">
        <v>160</v>
      </c>
      <c r="D127" t="s">
        <v>82</v>
      </c>
      <c r="E127" t="s">
        <v>132</v>
      </c>
      <c r="F127" t="s">
        <v>142</v>
      </c>
      <c r="G127">
        <v>65</v>
      </c>
      <c r="H127">
        <v>130</v>
      </c>
      <c r="I127" s="16">
        <v>0.3972222222222222</v>
      </c>
      <c r="J127">
        <v>1210063269</v>
      </c>
      <c r="K127" t="s">
        <v>134</v>
      </c>
      <c r="L127">
        <v>181.55</v>
      </c>
      <c r="M127">
        <v>0</v>
      </c>
      <c r="N127" s="16">
        <v>0.3972222222222222</v>
      </c>
      <c r="O127" t="s">
        <v>135</v>
      </c>
      <c r="P127">
        <v>1500000011544980</v>
      </c>
      <c r="Q127" t="s">
        <v>130</v>
      </c>
      <c r="S127" t="s">
        <v>136</v>
      </c>
      <c r="T127" t="s">
        <v>137</v>
      </c>
      <c r="U127" t="s">
        <v>130</v>
      </c>
      <c r="V127" t="s">
        <v>138</v>
      </c>
      <c r="W127">
        <v>0</v>
      </c>
      <c r="X127" t="s">
        <v>139</v>
      </c>
      <c r="Y127">
        <v>181.83</v>
      </c>
      <c r="Z127">
        <v>23637.25</v>
      </c>
      <c r="AC127">
        <v>0</v>
      </c>
    </row>
    <row r="128" spans="1:29">
      <c r="A128" t="s">
        <v>130</v>
      </c>
      <c r="B128" t="s">
        <v>81</v>
      </c>
      <c r="C128" t="s">
        <v>160</v>
      </c>
      <c r="D128" t="s">
        <v>82</v>
      </c>
      <c r="E128" t="s">
        <v>132</v>
      </c>
      <c r="F128" t="s">
        <v>142</v>
      </c>
      <c r="G128">
        <v>65</v>
      </c>
      <c r="H128">
        <v>130</v>
      </c>
      <c r="I128" s="16">
        <v>0.3972222222222222</v>
      </c>
      <c r="J128">
        <v>1210063269</v>
      </c>
      <c r="K128" t="s">
        <v>134</v>
      </c>
      <c r="L128">
        <v>181.55</v>
      </c>
      <c r="M128">
        <v>0</v>
      </c>
      <c r="N128" s="16">
        <v>0.3972222222222222</v>
      </c>
      <c r="O128" t="s">
        <v>140</v>
      </c>
      <c r="P128">
        <v>1500000011544980</v>
      </c>
      <c r="Q128" t="s">
        <v>130</v>
      </c>
      <c r="S128" t="s">
        <v>136</v>
      </c>
      <c r="T128" t="s">
        <v>137</v>
      </c>
      <c r="U128" t="s">
        <v>130</v>
      </c>
      <c r="V128" t="s">
        <v>138</v>
      </c>
      <c r="W128">
        <v>65</v>
      </c>
      <c r="X128" t="s">
        <v>139</v>
      </c>
      <c r="Y128">
        <v>181.85</v>
      </c>
      <c r="Z128">
        <v>11820.25</v>
      </c>
      <c r="AC128">
        <v>0</v>
      </c>
    </row>
    <row r="129" spans="1:29">
      <c r="A129" t="s">
        <v>130</v>
      </c>
      <c r="B129" t="s">
        <v>81</v>
      </c>
      <c r="C129" t="s">
        <v>176</v>
      </c>
      <c r="D129" t="s">
        <v>82</v>
      </c>
      <c r="E129" t="s">
        <v>132</v>
      </c>
      <c r="F129" t="s">
        <v>133</v>
      </c>
      <c r="G129">
        <v>455</v>
      </c>
      <c r="H129">
        <v>845</v>
      </c>
      <c r="I129" s="16">
        <v>0.39546296296296296</v>
      </c>
      <c r="J129">
        <v>1210063116</v>
      </c>
      <c r="K129" t="s">
        <v>134</v>
      </c>
      <c r="L129">
        <v>20.75</v>
      </c>
      <c r="M129">
        <v>0</v>
      </c>
      <c r="N129" s="16">
        <v>0.39546296296296296</v>
      </c>
      <c r="O129" t="s">
        <v>135</v>
      </c>
      <c r="P129">
        <v>1600000008866140</v>
      </c>
      <c r="Q129" t="s">
        <v>130</v>
      </c>
      <c r="S129" t="s">
        <v>136</v>
      </c>
      <c r="T129" t="s">
        <v>137</v>
      </c>
      <c r="U129" t="s">
        <v>130</v>
      </c>
      <c r="V129" t="s">
        <v>138</v>
      </c>
      <c r="W129">
        <v>0</v>
      </c>
      <c r="X129" t="s">
        <v>139</v>
      </c>
      <c r="Y129">
        <v>20.69</v>
      </c>
      <c r="Z129">
        <v>17485</v>
      </c>
      <c r="AC129">
        <v>0</v>
      </c>
    </row>
    <row r="130" spans="1:29">
      <c r="A130" t="s">
        <v>130</v>
      </c>
      <c r="B130" t="s">
        <v>81</v>
      </c>
      <c r="C130" t="s">
        <v>176</v>
      </c>
      <c r="D130" t="s">
        <v>82</v>
      </c>
      <c r="E130" t="s">
        <v>132</v>
      </c>
      <c r="F130" t="s">
        <v>133</v>
      </c>
      <c r="G130">
        <v>195</v>
      </c>
      <c r="H130">
        <v>845</v>
      </c>
      <c r="I130" s="16">
        <v>0.39546296296296296</v>
      </c>
      <c r="J130">
        <v>1210063116</v>
      </c>
      <c r="K130" t="s">
        <v>134</v>
      </c>
      <c r="L130">
        <v>20.75</v>
      </c>
      <c r="M130">
        <v>0</v>
      </c>
      <c r="N130" s="16">
        <v>0.39546296296296296</v>
      </c>
      <c r="O130" t="s">
        <v>140</v>
      </c>
      <c r="P130">
        <v>1600000008866140</v>
      </c>
      <c r="Q130" t="s">
        <v>130</v>
      </c>
      <c r="S130" t="s">
        <v>136</v>
      </c>
      <c r="T130" t="s">
        <v>137</v>
      </c>
      <c r="U130" t="s">
        <v>130</v>
      </c>
      <c r="V130" t="s">
        <v>138</v>
      </c>
      <c r="W130">
        <v>455</v>
      </c>
      <c r="X130" t="s">
        <v>139</v>
      </c>
      <c r="Y130">
        <v>20.68</v>
      </c>
      <c r="Z130">
        <v>8066.5</v>
      </c>
      <c r="AC130">
        <v>0</v>
      </c>
    </row>
    <row r="131" spans="1:29">
      <c r="A131" t="s">
        <v>130</v>
      </c>
      <c r="B131" t="s">
        <v>81</v>
      </c>
      <c r="C131" t="s">
        <v>176</v>
      </c>
      <c r="D131" t="s">
        <v>82</v>
      </c>
      <c r="E131" t="s">
        <v>132</v>
      </c>
      <c r="F131" t="s">
        <v>133</v>
      </c>
      <c r="G131">
        <v>65</v>
      </c>
      <c r="H131">
        <v>845</v>
      </c>
      <c r="I131" s="16">
        <v>0.39546296296296296</v>
      </c>
      <c r="J131">
        <v>1210063116</v>
      </c>
      <c r="K131" t="s">
        <v>134</v>
      </c>
      <c r="L131">
        <v>20.75</v>
      </c>
      <c r="M131">
        <v>0</v>
      </c>
      <c r="N131" s="16">
        <v>0.39546296296296296</v>
      </c>
      <c r="O131" t="s">
        <v>140</v>
      </c>
      <c r="P131">
        <v>1600000008866140</v>
      </c>
      <c r="Q131" t="s">
        <v>130</v>
      </c>
      <c r="S131" t="s">
        <v>136</v>
      </c>
      <c r="T131" t="s">
        <v>137</v>
      </c>
      <c r="U131" t="s">
        <v>130</v>
      </c>
      <c r="V131" t="s">
        <v>138</v>
      </c>
      <c r="W131">
        <v>650</v>
      </c>
      <c r="X131" t="s">
        <v>139</v>
      </c>
      <c r="Y131">
        <v>20.67</v>
      </c>
      <c r="Z131">
        <v>4030</v>
      </c>
      <c r="AC131">
        <v>0</v>
      </c>
    </row>
    <row r="132" spans="1:29">
      <c r="A132" t="s">
        <v>130</v>
      </c>
      <c r="B132" t="s">
        <v>81</v>
      </c>
      <c r="C132" t="s">
        <v>176</v>
      </c>
      <c r="D132" t="s">
        <v>82</v>
      </c>
      <c r="E132" t="s">
        <v>132</v>
      </c>
      <c r="F132" t="s">
        <v>133</v>
      </c>
      <c r="G132">
        <v>130</v>
      </c>
      <c r="H132">
        <v>845</v>
      </c>
      <c r="I132" s="16">
        <v>0.39546296296296296</v>
      </c>
      <c r="J132">
        <v>1210063116</v>
      </c>
      <c r="K132" t="s">
        <v>134</v>
      </c>
      <c r="L132">
        <v>20.75</v>
      </c>
      <c r="M132">
        <v>0</v>
      </c>
      <c r="N132" s="16">
        <v>0.39546296296296296</v>
      </c>
      <c r="O132" t="s">
        <v>140</v>
      </c>
      <c r="P132">
        <v>1600000008866140</v>
      </c>
      <c r="Q132" t="s">
        <v>130</v>
      </c>
      <c r="S132" t="s">
        <v>136</v>
      </c>
      <c r="T132" t="s">
        <v>137</v>
      </c>
      <c r="U132" t="s">
        <v>130</v>
      </c>
      <c r="V132" t="s">
        <v>138</v>
      </c>
      <c r="W132">
        <v>715</v>
      </c>
      <c r="X132" t="s">
        <v>139</v>
      </c>
      <c r="Y132">
        <v>20.65</v>
      </c>
      <c r="Z132">
        <v>2684.5</v>
      </c>
      <c r="AC132">
        <v>0</v>
      </c>
    </row>
    <row r="133" spans="1:29">
      <c r="A133" t="s">
        <v>130</v>
      </c>
      <c r="B133" t="s">
        <v>81</v>
      </c>
      <c r="C133" t="s">
        <v>169</v>
      </c>
      <c r="D133" t="s">
        <v>82</v>
      </c>
      <c r="E133" t="s">
        <v>132</v>
      </c>
      <c r="F133" t="s">
        <v>142</v>
      </c>
      <c r="G133">
        <v>390</v>
      </c>
      <c r="H133">
        <v>715</v>
      </c>
      <c r="I133" s="16">
        <v>0.39511574074074074</v>
      </c>
      <c r="J133">
        <v>1210061955</v>
      </c>
      <c r="K133" t="s">
        <v>134</v>
      </c>
      <c r="L133">
        <v>27.5</v>
      </c>
      <c r="M133">
        <v>0</v>
      </c>
      <c r="N133" s="16">
        <v>0.39511574074074074</v>
      </c>
      <c r="O133" t="s">
        <v>135</v>
      </c>
      <c r="P133">
        <v>1000000008414720</v>
      </c>
      <c r="Q133" t="s">
        <v>130</v>
      </c>
      <c r="S133" t="s">
        <v>136</v>
      </c>
      <c r="T133" t="s">
        <v>137</v>
      </c>
      <c r="U133" t="s">
        <v>130</v>
      </c>
      <c r="V133" t="s">
        <v>138</v>
      </c>
      <c r="W133">
        <v>0</v>
      </c>
      <c r="X133" t="s">
        <v>139</v>
      </c>
      <c r="Y133">
        <v>27.5</v>
      </c>
      <c r="Z133">
        <v>19662.5</v>
      </c>
      <c r="AC133">
        <v>0</v>
      </c>
    </row>
    <row r="134" spans="1:29">
      <c r="A134" t="s">
        <v>130</v>
      </c>
      <c r="B134" t="s">
        <v>81</v>
      </c>
      <c r="C134" t="s">
        <v>169</v>
      </c>
      <c r="D134" t="s">
        <v>82</v>
      </c>
      <c r="E134" t="s">
        <v>132</v>
      </c>
      <c r="F134" t="s">
        <v>142</v>
      </c>
      <c r="G134">
        <v>65</v>
      </c>
      <c r="H134">
        <v>715</v>
      </c>
      <c r="I134" s="16">
        <v>0.39511574074074074</v>
      </c>
      <c r="J134">
        <v>1210061955</v>
      </c>
      <c r="K134" t="s">
        <v>134</v>
      </c>
      <c r="L134">
        <v>27.5</v>
      </c>
      <c r="M134">
        <v>0</v>
      </c>
      <c r="N134" s="16">
        <v>0.39511574074074074</v>
      </c>
      <c r="O134" t="s">
        <v>140</v>
      </c>
      <c r="P134">
        <v>1000000008414720</v>
      </c>
      <c r="Q134" t="s">
        <v>130</v>
      </c>
      <c r="S134" t="s">
        <v>136</v>
      </c>
      <c r="T134" t="s">
        <v>137</v>
      </c>
      <c r="U134" t="s">
        <v>130</v>
      </c>
      <c r="V134" t="s">
        <v>138</v>
      </c>
      <c r="W134">
        <v>390</v>
      </c>
      <c r="X134" t="s">
        <v>139</v>
      </c>
      <c r="Y134">
        <v>27.5</v>
      </c>
      <c r="Z134">
        <v>8937.5</v>
      </c>
      <c r="AC134">
        <v>0</v>
      </c>
    </row>
    <row r="135" spans="1:29">
      <c r="A135" t="s">
        <v>130</v>
      </c>
      <c r="B135" t="s">
        <v>81</v>
      </c>
      <c r="C135" t="s">
        <v>169</v>
      </c>
      <c r="D135" t="s">
        <v>82</v>
      </c>
      <c r="E135" t="s">
        <v>132</v>
      </c>
      <c r="F135" t="s">
        <v>142</v>
      </c>
      <c r="G135">
        <v>65</v>
      </c>
      <c r="H135">
        <v>715</v>
      </c>
      <c r="I135" s="16">
        <v>0.39511574074074074</v>
      </c>
      <c r="J135">
        <v>1210061955</v>
      </c>
      <c r="K135" t="s">
        <v>134</v>
      </c>
      <c r="L135">
        <v>27.5</v>
      </c>
      <c r="M135">
        <v>0</v>
      </c>
      <c r="N135" s="16">
        <v>0.39511574074074074</v>
      </c>
      <c r="O135" t="s">
        <v>140</v>
      </c>
      <c r="P135">
        <v>1000000008414720</v>
      </c>
      <c r="Q135" t="s">
        <v>130</v>
      </c>
      <c r="S135" t="s">
        <v>136</v>
      </c>
      <c r="T135" t="s">
        <v>137</v>
      </c>
      <c r="U135" t="s">
        <v>130</v>
      </c>
      <c r="V135" t="s">
        <v>138</v>
      </c>
      <c r="W135">
        <v>455</v>
      </c>
      <c r="X135" t="s">
        <v>139</v>
      </c>
      <c r="Y135">
        <v>27.5</v>
      </c>
      <c r="Z135">
        <v>7150</v>
      </c>
      <c r="AC135">
        <v>0</v>
      </c>
    </row>
    <row r="136" spans="1:29">
      <c r="A136" t="s">
        <v>130</v>
      </c>
      <c r="B136" t="s">
        <v>81</v>
      </c>
      <c r="C136" t="s">
        <v>169</v>
      </c>
      <c r="D136" t="s">
        <v>82</v>
      </c>
      <c r="E136" t="s">
        <v>132</v>
      </c>
      <c r="F136" t="s">
        <v>142</v>
      </c>
      <c r="G136">
        <v>195</v>
      </c>
      <c r="H136">
        <v>715</v>
      </c>
      <c r="I136" s="16">
        <v>0.39511574074074074</v>
      </c>
      <c r="J136">
        <v>1210061955</v>
      </c>
      <c r="K136" t="s">
        <v>134</v>
      </c>
      <c r="L136">
        <v>27.5</v>
      </c>
      <c r="M136">
        <v>0</v>
      </c>
      <c r="N136" s="16">
        <v>0.39511574074074074</v>
      </c>
      <c r="O136" t="s">
        <v>140</v>
      </c>
      <c r="P136">
        <v>1000000008414720</v>
      </c>
      <c r="Q136" t="s">
        <v>130</v>
      </c>
      <c r="S136" t="s">
        <v>136</v>
      </c>
      <c r="T136" t="s">
        <v>137</v>
      </c>
      <c r="U136" t="s">
        <v>130</v>
      </c>
      <c r="V136" t="s">
        <v>138</v>
      </c>
      <c r="W136">
        <v>520</v>
      </c>
      <c r="X136" t="s">
        <v>139</v>
      </c>
      <c r="Y136">
        <v>27.5</v>
      </c>
      <c r="Z136">
        <v>5362.5</v>
      </c>
      <c r="AC136">
        <v>0</v>
      </c>
    </row>
    <row r="137" spans="1:29">
      <c r="A137" t="s">
        <v>130</v>
      </c>
      <c r="B137" t="s">
        <v>81</v>
      </c>
      <c r="C137" t="s">
        <v>175</v>
      </c>
      <c r="D137" t="s">
        <v>82</v>
      </c>
      <c r="E137" t="s">
        <v>132</v>
      </c>
      <c r="F137" t="s">
        <v>133</v>
      </c>
      <c r="G137">
        <v>325</v>
      </c>
      <c r="H137">
        <v>325</v>
      </c>
      <c r="I137" s="16">
        <v>0.3878935185185185</v>
      </c>
      <c r="J137">
        <v>1210056355</v>
      </c>
      <c r="K137" t="s">
        <v>134</v>
      </c>
      <c r="L137">
        <v>21.4</v>
      </c>
      <c r="M137">
        <v>0</v>
      </c>
      <c r="N137" s="16">
        <v>0.3878935185185185</v>
      </c>
      <c r="O137" t="s">
        <v>135</v>
      </c>
      <c r="P137">
        <v>1200000003053280</v>
      </c>
      <c r="Q137" t="s">
        <v>130</v>
      </c>
      <c r="S137" t="s">
        <v>136</v>
      </c>
      <c r="T137" t="s">
        <v>137</v>
      </c>
      <c r="U137" t="s">
        <v>130</v>
      </c>
      <c r="V137" t="s">
        <v>138</v>
      </c>
      <c r="W137">
        <v>0</v>
      </c>
      <c r="X137" t="s">
        <v>139</v>
      </c>
      <c r="Y137">
        <v>21.1</v>
      </c>
      <c r="Z137">
        <v>6857.5</v>
      </c>
      <c r="AC137">
        <v>0</v>
      </c>
    </row>
    <row r="138" spans="1:29">
      <c r="A138" t="s">
        <v>130</v>
      </c>
      <c r="B138" t="s">
        <v>81</v>
      </c>
      <c r="C138" t="s">
        <v>152</v>
      </c>
      <c r="D138" t="s">
        <v>82</v>
      </c>
      <c r="E138" t="s">
        <v>132</v>
      </c>
      <c r="F138" t="s">
        <v>133</v>
      </c>
      <c r="G138">
        <v>390</v>
      </c>
      <c r="H138">
        <v>390</v>
      </c>
      <c r="I138" s="16">
        <v>0.38762731481481483</v>
      </c>
      <c r="J138">
        <v>1210055328</v>
      </c>
      <c r="K138" t="s">
        <v>134</v>
      </c>
      <c r="L138">
        <v>10.65</v>
      </c>
      <c r="M138">
        <v>0</v>
      </c>
      <c r="N138" s="16">
        <v>0.38762731481481483</v>
      </c>
      <c r="O138" t="s">
        <v>135</v>
      </c>
      <c r="P138">
        <v>1400000003232600</v>
      </c>
      <c r="Q138" t="s">
        <v>130</v>
      </c>
      <c r="S138" t="s">
        <v>136</v>
      </c>
      <c r="T138" t="s">
        <v>137</v>
      </c>
      <c r="U138" t="s">
        <v>130</v>
      </c>
      <c r="V138" t="s">
        <v>138</v>
      </c>
      <c r="W138">
        <v>0</v>
      </c>
      <c r="X138" t="s">
        <v>139</v>
      </c>
      <c r="Y138">
        <v>10.65</v>
      </c>
      <c r="Z138">
        <v>4153.5</v>
      </c>
      <c r="AC138">
        <v>0</v>
      </c>
    </row>
    <row r="139" spans="1:29">
      <c r="A139" t="s">
        <v>130</v>
      </c>
      <c r="B139" t="s">
        <v>81</v>
      </c>
      <c r="C139" t="s">
        <v>152</v>
      </c>
      <c r="D139" t="s">
        <v>82</v>
      </c>
      <c r="E139" t="s">
        <v>132</v>
      </c>
      <c r="F139" t="s">
        <v>142</v>
      </c>
      <c r="G139">
        <v>195</v>
      </c>
      <c r="H139">
        <v>195</v>
      </c>
      <c r="I139" s="16">
        <v>0.38722222222222225</v>
      </c>
      <c r="J139">
        <v>1210055289</v>
      </c>
      <c r="K139" t="s">
        <v>134</v>
      </c>
      <c r="L139">
        <v>10.45</v>
      </c>
      <c r="M139">
        <v>0</v>
      </c>
      <c r="N139" s="16">
        <v>0.38722222222222225</v>
      </c>
      <c r="O139" t="s">
        <v>135</v>
      </c>
      <c r="P139">
        <v>1400000002713510</v>
      </c>
      <c r="Q139" t="s">
        <v>130</v>
      </c>
      <c r="S139" t="s">
        <v>136</v>
      </c>
      <c r="T139" t="s">
        <v>137</v>
      </c>
      <c r="U139" t="s">
        <v>130</v>
      </c>
      <c r="V139" t="s">
        <v>138</v>
      </c>
      <c r="W139">
        <v>0</v>
      </c>
      <c r="X139" t="s">
        <v>139</v>
      </c>
      <c r="Y139">
        <v>10.45</v>
      </c>
      <c r="Z139">
        <v>2037.75</v>
      </c>
      <c r="AC139">
        <v>0</v>
      </c>
    </row>
    <row r="140" spans="1:29">
      <c r="A140" t="s">
        <v>130</v>
      </c>
      <c r="B140" t="s">
        <v>81</v>
      </c>
      <c r="C140" t="s">
        <v>152</v>
      </c>
      <c r="D140" t="s">
        <v>82</v>
      </c>
      <c r="E140" t="s">
        <v>132</v>
      </c>
      <c r="F140" t="s">
        <v>142</v>
      </c>
      <c r="G140">
        <v>195</v>
      </c>
      <c r="H140">
        <v>520</v>
      </c>
      <c r="I140" s="16">
        <v>0.38667824074074075</v>
      </c>
      <c r="J140">
        <v>1210054207</v>
      </c>
      <c r="K140" t="s">
        <v>134</v>
      </c>
      <c r="L140">
        <v>10.5</v>
      </c>
      <c r="M140">
        <v>0</v>
      </c>
      <c r="N140" s="16">
        <v>0.38667824074074075</v>
      </c>
      <c r="O140" t="s">
        <v>135</v>
      </c>
      <c r="P140">
        <v>1400000002034510</v>
      </c>
      <c r="Q140" t="s">
        <v>130</v>
      </c>
      <c r="S140" t="s">
        <v>136</v>
      </c>
      <c r="T140" t="s">
        <v>137</v>
      </c>
      <c r="U140" t="s">
        <v>130</v>
      </c>
      <c r="V140" t="s">
        <v>138</v>
      </c>
      <c r="W140">
        <v>0</v>
      </c>
      <c r="X140" t="s">
        <v>139</v>
      </c>
      <c r="Y140">
        <v>10.55</v>
      </c>
      <c r="Z140">
        <v>5486</v>
      </c>
      <c r="AC140">
        <v>0</v>
      </c>
    </row>
    <row r="141" spans="1:29">
      <c r="A141" t="s">
        <v>130</v>
      </c>
      <c r="B141" t="s">
        <v>81</v>
      </c>
      <c r="C141" t="s">
        <v>152</v>
      </c>
      <c r="D141" t="s">
        <v>82</v>
      </c>
      <c r="E141" t="s">
        <v>132</v>
      </c>
      <c r="F141" t="s">
        <v>142</v>
      </c>
      <c r="G141">
        <v>130</v>
      </c>
      <c r="H141">
        <v>520</v>
      </c>
      <c r="I141" s="16">
        <v>0.38667824074074075</v>
      </c>
      <c r="J141">
        <v>1210054207</v>
      </c>
      <c r="K141" t="s">
        <v>134</v>
      </c>
      <c r="L141">
        <v>10.5</v>
      </c>
      <c r="M141">
        <v>0</v>
      </c>
      <c r="N141" s="16">
        <v>0.38667824074074075</v>
      </c>
      <c r="O141" t="s">
        <v>140</v>
      </c>
      <c r="P141">
        <v>1400000002034510</v>
      </c>
      <c r="Q141" t="s">
        <v>130</v>
      </c>
      <c r="S141" t="s">
        <v>136</v>
      </c>
      <c r="T141" t="s">
        <v>137</v>
      </c>
      <c r="U141" t="s">
        <v>130</v>
      </c>
      <c r="V141" t="s">
        <v>138</v>
      </c>
      <c r="W141">
        <v>195</v>
      </c>
      <c r="X141" t="s">
        <v>139</v>
      </c>
      <c r="Y141">
        <v>10.55</v>
      </c>
      <c r="Z141">
        <v>3428.75</v>
      </c>
      <c r="AC141">
        <v>0</v>
      </c>
    </row>
    <row r="142" spans="1:29">
      <c r="A142" t="s">
        <v>130</v>
      </c>
      <c r="B142" t="s">
        <v>81</v>
      </c>
      <c r="C142" t="s">
        <v>152</v>
      </c>
      <c r="D142" t="s">
        <v>82</v>
      </c>
      <c r="E142" t="s">
        <v>132</v>
      </c>
      <c r="F142" t="s">
        <v>142</v>
      </c>
      <c r="G142">
        <v>195</v>
      </c>
      <c r="H142">
        <v>520</v>
      </c>
      <c r="I142" s="16">
        <v>0.38667824074074075</v>
      </c>
      <c r="J142">
        <v>1210054207</v>
      </c>
      <c r="K142" t="s">
        <v>134</v>
      </c>
      <c r="L142">
        <v>10.5</v>
      </c>
      <c r="M142">
        <v>0</v>
      </c>
      <c r="N142" s="16">
        <v>0.38667824074074075</v>
      </c>
      <c r="O142" t="s">
        <v>140</v>
      </c>
      <c r="P142">
        <v>1400000002034510</v>
      </c>
      <c r="Q142" t="s">
        <v>130</v>
      </c>
      <c r="S142" t="s">
        <v>136</v>
      </c>
      <c r="T142" t="s">
        <v>137</v>
      </c>
      <c r="U142" t="s">
        <v>130</v>
      </c>
      <c r="V142" t="s">
        <v>138</v>
      </c>
      <c r="W142">
        <v>325</v>
      </c>
      <c r="X142" t="s">
        <v>139</v>
      </c>
      <c r="Y142">
        <v>10.55</v>
      </c>
      <c r="Z142">
        <v>2057.25</v>
      </c>
      <c r="AC142">
        <v>0</v>
      </c>
    </row>
    <row r="143" spans="1:29">
      <c r="A143" t="s">
        <v>130</v>
      </c>
      <c r="B143" t="s">
        <v>81</v>
      </c>
      <c r="C143" t="s">
        <v>160</v>
      </c>
      <c r="D143" t="s">
        <v>82</v>
      </c>
      <c r="E143" t="s">
        <v>132</v>
      </c>
      <c r="F143" t="s">
        <v>142</v>
      </c>
      <c r="G143">
        <v>130</v>
      </c>
      <c r="H143">
        <v>130</v>
      </c>
      <c r="I143" s="16">
        <v>0.38613425925925926</v>
      </c>
      <c r="J143">
        <v>1210051163</v>
      </c>
      <c r="K143" t="s">
        <v>134</v>
      </c>
      <c r="L143">
        <v>170.15</v>
      </c>
      <c r="M143">
        <v>0</v>
      </c>
      <c r="N143" s="16">
        <v>0.38613425925925926</v>
      </c>
      <c r="O143" t="s">
        <v>135</v>
      </c>
      <c r="P143">
        <v>1500000001245100</v>
      </c>
      <c r="Q143" t="s">
        <v>130</v>
      </c>
      <c r="S143" t="s">
        <v>136</v>
      </c>
      <c r="T143" t="s">
        <v>137</v>
      </c>
      <c r="U143" t="s">
        <v>130</v>
      </c>
      <c r="V143" t="s">
        <v>138</v>
      </c>
      <c r="W143">
        <v>0</v>
      </c>
      <c r="X143" t="s">
        <v>139</v>
      </c>
      <c r="Y143">
        <v>175.4</v>
      </c>
      <c r="Z143">
        <v>22802</v>
      </c>
      <c r="AC143">
        <v>0</v>
      </c>
    </row>
    <row r="144" spans="1:29">
      <c r="A144" t="s">
        <v>130</v>
      </c>
      <c r="B144" t="s">
        <v>81</v>
      </c>
      <c r="C144" t="s">
        <v>169</v>
      </c>
      <c r="D144" t="s">
        <v>82</v>
      </c>
      <c r="E144" t="s">
        <v>132</v>
      </c>
      <c r="F144" t="s">
        <v>142</v>
      </c>
      <c r="G144">
        <v>325</v>
      </c>
      <c r="H144">
        <v>325</v>
      </c>
      <c r="I144" s="16">
        <v>0.38611111111111113</v>
      </c>
      <c r="J144">
        <v>1210049145</v>
      </c>
      <c r="K144" t="s">
        <v>134</v>
      </c>
      <c r="L144">
        <v>25.2</v>
      </c>
      <c r="M144">
        <v>0</v>
      </c>
      <c r="N144" s="16">
        <v>0.38611111111111113</v>
      </c>
      <c r="O144" t="s">
        <v>135</v>
      </c>
      <c r="P144">
        <v>1000000000988470</v>
      </c>
      <c r="Q144" t="s">
        <v>130</v>
      </c>
      <c r="S144" t="s">
        <v>136</v>
      </c>
      <c r="T144" t="s">
        <v>137</v>
      </c>
      <c r="U144" t="s">
        <v>130</v>
      </c>
      <c r="V144" t="s">
        <v>138</v>
      </c>
      <c r="W144">
        <v>0</v>
      </c>
      <c r="X144" t="s">
        <v>139</v>
      </c>
      <c r="Y144">
        <v>25.2</v>
      </c>
      <c r="Z144">
        <v>8190</v>
      </c>
      <c r="AC144">
        <v>0</v>
      </c>
    </row>
    <row r="145" spans="1:29">
      <c r="A145" t="s">
        <v>130</v>
      </c>
      <c r="B145" t="s">
        <v>81</v>
      </c>
      <c r="C145" t="s">
        <v>152</v>
      </c>
      <c r="D145" t="s">
        <v>82</v>
      </c>
      <c r="E145" t="s">
        <v>132</v>
      </c>
      <c r="F145" t="s">
        <v>142</v>
      </c>
      <c r="G145">
        <v>65</v>
      </c>
      <c r="H145">
        <v>195</v>
      </c>
      <c r="I145" s="16">
        <v>0.38574074074074072</v>
      </c>
      <c r="J145">
        <v>1210044113</v>
      </c>
      <c r="K145" t="s">
        <v>134</v>
      </c>
      <c r="L145">
        <v>13.3</v>
      </c>
      <c r="M145">
        <v>0</v>
      </c>
      <c r="N145" s="16">
        <v>0.38575231481481481</v>
      </c>
      <c r="O145" t="s">
        <v>135</v>
      </c>
      <c r="P145">
        <v>1400000000532920</v>
      </c>
      <c r="Q145" t="s">
        <v>130</v>
      </c>
      <c r="S145" t="s">
        <v>136</v>
      </c>
      <c r="T145" t="s">
        <v>137</v>
      </c>
      <c r="U145" t="s">
        <v>130</v>
      </c>
      <c r="V145" t="s">
        <v>138</v>
      </c>
      <c r="W145">
        <v>0</v>
      </c>
      <c r="X145" t="s">
        <v>139</v>
      </c>
      <c r="Y145">
        <v>13.3</v>
      </c>
      <c r="Z145">
        <v>2593.5</v>
      </c>
      <c r="AC145">
        <v>0</v>
      </c>
    </row>
    <row r="146" spans="1:29">
      <c r="A146" t="s">
        <v>130</v>
      </c>
      <c r="B146" t="s">
        <v>81</v>
      </c>
      <c r="C146" t="s">
        <v>152</v>
      </c>
      <c r="D146" t="s">
        <v>82</v>
      </c>
      <c r="E146" t="s">
        <v>132</v>
      </c>
      <c r="F146" t="s">
        <v>142</v>
      </c>
      <c r="G146">
        <v>130</v>
      </c>
      <c r="H146">
        <v>195</v>
      </c>
      <c r="I146" s="16">
        <v>0.38574074074074072</v>
      </c>
      <c r="J146">
        <v>1210044113</v>
      </c>
      <c r="K146" t="s">
        <v>134</v>
      </c>
      <c r="L146">
        <v>13.3</v>
      </c>
      <c r="M146">
        <v>0</v>
      </c>
      <c r="N146" s="16">
        <v>0.38575231481481481</v>
      </c>
      <c r="O146" t="s">
        <v>140</v>
      </c>
      <c r="P146">
        <v>1400000000532920</v>
      </c>
      <c r="Q146" t="s">
        <v>130</v>
      </c>
      <c r="S146" t="s">
        <v>136</v>
      </c>
      <c r="T146" t="s">
        <v>137</v>
      </c>
      <c r="U146" t="s">
        <v>130</v>
      </c>
      <c r="V146" t="s">
        <v>138</v>
      </c>
      <c r="W146">
        <v>65</v>
      </c>
      <c r="X146" t="s">
        <v>139</v>
      </c>
      <c r="Y146">
        <v>13.3</v>
      </c>
      <c r="Z146">
        <v>1729</v>
      </c>
      <c r="AC146">
        <v>0</v>
      </c>
    </row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D82B-8A04-40DD-9E55-4B06300974DB}">
  <dimension ref="A1:AC179"/>
  <sheetViews>
    <sheetView workbookViewId="0">
      <selection activeCell="V10" sqref="V10"/>
    </sheetView>
  </sheetViews>
  <sheetFormatPr defaultRowHeight="15"/>
  <cols>
    <col min="2" max="2" width="10.5703125" bestFit="1" customWidth="1"/>
  </cols>
  <sheetData>
    <row r="1" spans="1:29" ht="63.7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58</v>
      </c>
      <c r="G1" t="s">
        <v>170</v>
      </c>
      <c r="H1" t="s">
        <v>171</v>
      </c>
      <c r="I1" t="s">
        <v>13</v>
      </c>
      <c r="J1" t="s">
        <v>78</v>
      </c>
      <c r="K1" t="s">
        <v>60</v>
      </c>
      <c r="L1" t="s">
        <v>77</v>
      </c>
      <c r="M1" t="s">
        <v>57</v>
      </c>
      <c r="N1" t="s">
        <v>62</v>
      </c>
      <c r="O1" t="s">
        <v>76</v>
      </c>
      <c r="P1" t="s">
        <v>61</v>
      </c>
      <c r="Q1" t="s">
        <v>79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9</v>
      </c>
      <c r="X1" s="8" t="s">
        <v>19</v>
      </c>
      <c r="Y1" s="8" t="s">
        <v>11</v>
      </c>
      <c r="Z1" s="8" t="s">
        <v>12</v>
      </c>
      <c r="AA1" s="8" t="s">
        <v>20</v>
      </c>
      <c r="AB1" s="8" t="s">
        <v>21</v>
      </c>
      <c r="AC1" s="8" t="s">
        <v>22</v>
      </c>
    </row>
    <row r="2" spans="1:29">
      <c r="A2" t="s">
        <v>39</v>
      </c>
      <c r="B2" s="15">
        <v>46259</v>
      </c>
      <c r="C2">
        <v>24400</v>
      </c>
      <c r="D2" t="s">
        <v>88</v>
      </c>
      <c r="E2">
        <v>-520</v>
      </c>
      <c r="F2">
        <v>151.35</v>
      </c>
      <c r="G2">
        <v>57950.75</v>
      </c>
      <c r="H2">
        <v>124644</v>
      </c>
      <c r="I2">
        <v>390</v>
      </c>
      <c r="J2">
        <v>6</v>
      </c>
      <c r="K2">
        <v>148.59</v>
      </c>
      <c r="L2">
        <v>-8</v>
      </c>
      <c r="M2">
        <v>-12008.75</v>
      </c>
      <c r="N2">
        <v>136.97</v>
      </c>
      <c r="O2">
        <v>65</v>
      </c>
      <c r="P2">
        <v>910</v>
      </c>
      <c r="Q2">
        <v>14</v>
      </c>
      <c r="R2" s="10">
        <f>E2*F2</f>
        <v>-78702</v>
      </c>
      <c r="S2" s="10">
        <f>SUM($G$31:G500)</f>
        <v>16640</v>
      </c>
      <c r="T2" s="2">
        <f>SUMIFS(INDEX($A$2:$AF$29,0,MATCH("NETQTY",$A$1:$AF$1,0)),INDEX($A$2:$AF$29,0,MATCH("OPTION TYPE",$A$1:$AF$1,0)),"PE",INDEX($A$2:$AF$29,0,MATCH("NETQTY",$A$1:$AF$1,0)),"&lt;0")</f>
        <v>-975</v>
      </c>
      <c r="U2" s="2">
        <f>SUMIFS(INDEX($A$2:$AF$29,0,MATCH("NETQTY",$A$1:$AF$1,0)),INDEX($A$2:$AF$29,0,MATCH("OPTION TYPE",$A$1:$AF$1,0)),"PE",INDEX($A$2:$AF$29,0,MATCH("NETQTY",$A$1:$AF$1,0)),"&gt;0")</f>
        <v>1495</v>
      </c>
      <c r="V2" s="2">
        <f>SUMIFS(INDEX($A$2:$AF$29,0,MATCH("NETQTY",$A$1:$AF$1,0)),INDEX($A$2:$AF$29,0,MATCH("OPTION TYPE",$A$1:$AF$1,0)),"CE",INDEX($A$2:$AF$29,0,MATCH("NETQTY",$A$1:$AF$1,0)),"&lt;0")</f>
        <v>-455</v>
      </c>
      <c r="W2" s="2">
        <f>SUMIFS(INDEX($A$2:$AF$29,0,MATCH("NETQTY",$A$1:$AF$1,0)),INDEX($A$2:$AF$29,0,MATCH("OPTION TYPE",$A$1:$AF$1,0)),"CE",INDEX($A$2:$AF$29,0,MATCH("NETQTY",$A$1:$AF$1,0)),"&gt;0")</f>
        <v>455</v>
      </c>
      <c r="X2" s="2">
        <f>T2+U2+V2+W2</f>
        <v>520</v>
      </c>
      <c r="Y2" s="5">
        <f>ABS(U2)/T2</f>
        <v>-1.5333333333333334</v>
      </c>
      <c r="Z2" s="5">
        <f>ABS(W2)/V2</f>
        <v>-1</v>
      </c>
      <c r="AA2" s="2" cm="1">
        <f t="array" ref="AA2">SUMPRODUCT((INDEX($A$2:$AF$29,0,MATCH("OPTION TYPE",$A$1:$AF$1,0))="PE")*(INDEX($A$2:$AF$29,0,MATCH("NETQTY",$A$1:$AF$1,0))*INDEX($A$2:$AF$29,0,MATCH("LastTradePrice",$A$1:$AF$1,0))&lt;0)*INDEX($A$2:$AF$29,0,MATCH("NETQTY",$A$1:$AF$1,0))*INDEX($A$2:$AF$29,0,MATCH("LastTradePrice",$A$1:$AF$1,0)))</f>
        <v>-155096.5</v>
      </c>
      <c r="AB2" s="2" cm="1">
        <f t="array" ref="AB2">SUMPRODUCT((INDEX($A$2:$AF$29,0,MATCH("OPTION TYPE",$A$1:$AF$1,0))="CE")*(INDEX($A$2:$AF$29,0,MATCH("NETQTY",$A$1:$AF$1,0))*INDEX($A$2:$AF$29,0,MATCH("LastTradePrice",$A$1:$AF$1,0))&lt;0)*INDEX($A$2:$AF$29,0,MATCH("NETQTY",$A$1:$AF$1,0))*INDEX($A$2:$AF$29,0,MATCH("LastTradePrice",$A$1:$AF$1,0)))</f>
        <v>-70616</v>
      </c>
      <c r="AC2" s="2">
        <f>ABS(AA2+AB2)</f>
        <v>225712.5</v>
      </c>
    </row>
    <row r="3" spans="1:29">
      <c r="A3" t="s">
        <v>39</v>
      </c>
      <c r="B3" s="15">
        <v>46266</v>
      </c>
      <c r="C3">
        <v>24350</v>
      </c>
      <c r="D3" t="s">
        <v>88</v>
      </c>
      <c r="E3">
        <v>-455</v>
      </c>
      <c r="F3">
        <v>167.9</v>
      </c>
      <c r="G3">
        <v>24817</v>
      </c>
      <c r="H3">
        <v>111514</v>
      </c>
      <c r="I3">
        <v>130</v>
      </c>
      <c r="J3">
        <v>2</v>
      </c>
      <c r="K3">
        <v>190.9</v>
      </c>
      <c r="L3">
        <v>-7</v>
      </c>
      <c r="M3">
        <v>10302.5</v>
      </c>
      <c r="N3">
        <v>190.62</v>
      </c>
      <c r="O3">
        <v>65</v>
      </c>
      <c r="P3">
        <v>585</v>
      </c>
      <c r="Q3">
        <v>9</v>
      </c>
      <c r="R3" s="10">
        <f t="shared" ref="R3:R21" si="0">E3*F3</f>
        <v>-76394.5</v>
      </c>
    </row>
    <row r="4" spans="1:29">
      <c r="A4" t="s">
        <v>39</v>
      </c>
      <c r="B4" s="15">
        <v>46259</v>
      </c>
      <c r="C4">
        <v>24400</v>
      </c>
      <c r="D4" t="s">
        <v>83</v>
      </c>
      <c r="E4">
        <v>-260</v>
      </c>
      <c r="F4">
        <v>123.1</v>
      </c>
      <c r="G4">
        <v>38281.75</v>
      </c>
      <c r="H4">
        <v>87204</v>
      </c>
      <c r="I4">
        <v>260</v>
      </c>
      <c r="J4">
        <v>4</v>
      </c>
      <c r="K4">
        <v>147.24</v>
      </c>
      <c r="L4">
        <v>-4</v>
      </c>
      <c r="M4">
        <v>16916.25</v>
      </c>
      <c r="N4">
        <v>167.7</v>
      </c>
      <c r="O4">
        <v>65</v>
      </c>
      <c r="P4">
        <v>520</v>
      </c>
      <c r="Q4">
        <v>8</v>
      </c>
      <c r="R4" s="10">
        <f t="shared" si="0"/>
        <v>-32006</v>
      </c>
    </row>
    <row r="5" spans="1:29">
      <c r="A5" t="s">
        <v>39</v>
      </c>
      <c r="B5" s="15">
        <v>46266</v>
      </c>
      <c r="C5">
        <v>24400</v>
      </c>
      <c r="D5" t="s">
        <v>83</v>
      </c>
      <c r="E5">
        <v>-195</v>
      </c>
      <c r="F5">
        <v>198</v>
      </c>
      <c r="G5">
        <v>0</v>
      </c>
      <c r="H5">
        <v>37947</v>
      </c>
      <c r="I5">
        <v>0</v>
      </c>
      <c r="J5">
        <v>0</v>
      </c>
      <c r="K5">
        <v>0</v>
      </c>
      <c r="L5">
        <v>-3</v>
      </c>
      <c r="M5">
        <v>-663</v>
      </c>
      <c r="N5">
        <v>194.6</v>
      </c>
      <c r="O5">
        <v>65</v>
      </c>
      <c r="P5">
        <v>195</v>
      </c>
      <c r="Q5">
        <v>3</v>
      </c>
      <c r="R5" s="10">
        <f t="shared" si="0"/>
        <v>-38610</v>
      </c>
    </row>
    <row r="6" spans="1:29">
      <c r="A6" t="s">
        <v>39</v>
      </c>
      <c r="B6" s="15">
        <v>46259</v>
      </c>
      <c r="C6">
        <v>24350</v>
      </c>
      <c r="D6" t="s">
        <v>88</v>
      </c>
      <c r="E6">
        <v>0</v>
      </c>
      <c r="F6">
        <v>127.65</v>
      </c>
      <c r="G6">
        <v>70174</v>
      </c>
      <c r="H6">
        <v>67141.75</v>
      </c>
      <c r="I6">
        <v>455</v>
      </c>
      <c r="J6">
        <v>7</v>
      </c>
      <c r="K6">
        <v>154.22999999999999</v>
      </c>
      <c r="L6">
        <v>0</v>
      </c>
      <c r="M6">
        <v>-3032.25</v>
      </c>
      <c r="N6">
        <v>147.56</v>
      </c>
      <c r="O6">
        <v>65</v>
      </c>
      <c r="P6">
        <v>455</v>
      </c>
      <c r="Q6">
        <v>7</v>
      </c>
      <c r="R6" s="10">
        <f t="shared" si="0"/>
        <v>0</v>
      </c>
    </row>
    <row r="7" spans="1:29">
      <c r="A7" t="s">
        <v>39</v>
      </c>
      <c r="B7" s="15">
        <v>46259</v>
      </c>
      <c r="C7">
        <v>24500</v>
      </c>
      <c r="D7" t="s">
        <v>83</v>
      </c>
      <c r="E7">
        <v>0</v>
      </c>
      <c r="F7">
        <v>81.95</v>
      </c>
      <c r="G7">
        <v>16321.5</v>
      </c>
      <c r="H7">
        <v>26627.25</v>
      </c>
      <c r="I7">
        <v>195</v>
      </c>
      <c r="J7">
        <v>3</v>
      </c>
      <c r="K7">
        <v>83.7</v>
      </c>
      <c r="L7">
        <v>0</v>
      </c>
      <c r="M7">
        <v>10305.75</v>
      </c>
      <c r="N7">
        <v>136.55000000000001</v>
      </c>
      <c r="O7">
        <v>65</v>
      </c>
      <c r="P7">
        <v>195</v>
      </c>
      <c r="Q7">
        <v>3</v>
      </c>
      <c r="R7" s="10">
        <f t="shared" si="0"/>
        <v>0</v>
      </c>
    </row>
    <row r="8" spans="1:29">
      <c r="A8" t="s">
        <v>39</v>
      </c>
      <c r="B8" s="15">
        <v>46259</v>
      </c>
      <c r="C8">
        <v>24350</v>
      </c>
      <c r="D8" t="s">
        <v>83</v>
      </c>
      <c r="E8">
        <v>0</v>
      </c>
      <c r="F8">
        <v>150</v>
      </c>
      <c r="G8">
        <v>67505.75</v>
      </c>
      <c r="H8">
        <v>62344.75</v>
      </c>
      <c r="I8">
        <v>455</v>
      </c>
      <c r="J8">
        <v>7</v>
      </c>
      <c r="K8">
        <v>148.36000000000001</v>
      </c>
      <c r="L8">
        <v>0</v>
      </c>
      <c r="M8">
        <v>-5161</v>
      </c>
      <c r="N8">
        <v>137.02000000000001</v>
      </c>
      <c r="O8">
        <v>65</v>
      </c>
      <c r="P8">
        <v>455</v>
      </c>
      <c r="Q8">
        <v>7</v>
      </c>
      <c r="R8" s="10">
        <f t="shared" si="0"/>
        <v>0</v>
      </c>
    </row>
    <row r="9" spans="1:29">
      <c r="A9" t="s">
        <v>39</v>
      </c>
      <c r="B9" s="15">
        <v>46252</v>
      </c>
      <c r="C9">
        <v>24250</v>
      </c>
      <c r="D9" t="s">
        <v>88</v>
      </c>
      <c r="E9">
        <v>0</v>
      </c>
      <c r="F9">
        <v>23.8</v>
      </c>
      <c r="G9">
        <v>21505.25</v>
      </c>
      <c r="H9">
        <v>35142.25</v>
      </c>
      <c r="I9">
        <v>845</v>
      </c>
      <c r="J9">
        <v>13</v>
      </c>
      <c r="K9">
        <v>25.45</v>
      </c>
      <c r="L9">
        <v>0</v>
      </c>
      <c r="M9">
        <v>13637</v>
      </c>
      <c r="N9">
        <v>41.59</v>
      </c>
      <c r="O9">
        <v>65</v>
      </c>
      <c r="P9">
        <v>845</v>
      </c>
      <c r="Q9">
        <v>13</v>
      </c>
      <c r="R9" s="10">
        <f t="shared" si="0"/>
        <v>0</v>
      </c>
    </row>
    <row r="10" spans="1:29">
      <c r="A10" t="s">
        <v>39</v>
      </c>
      <c r="B10" s="15">
        <v>46259</v>
      </c>
      <c r="C10">
        <v>23800</v>
      </c>
      <c r="D10" t="s">
        <v>88</v>
      </c>
      <c r="E10">
        <v>0</v>
      </c>
      <c r="F10">
        <v>12.95</v>
      </c>
      <c r="G10">
        <v>28554.5</v>
      </c>
      <c r="H10">
        <v>17309.5</v>
      </c>
      <c r="I10">
        <v>1300</v>
      </c>
      <c r="J10">
        <v>20</v>
      </c>
      <c r="K10">
        <v>21.97</v>
      </c>
      <c r="L10">
        <v>0</v>
      </c>
      <c r="M10">
        <v>-11245</v>
      </c>
      <c r="N10">
        <v>13.32</v>
      </c>
      <c r="O10">
        <v>65</v>
      </c>
      <c r="P10">
        <v>1300</v>
      </c>
      <c r="Q10">
        <v>20</v>
      </c>
      <c r="R10" s="10">
        <f t="shared" si="0"/>
        <v>0</v>
      </c>
    </row>
    <row r="11" spans="1:29">
      <c r="A11" t="s">
        <v>39</v>
      </c>
      <c r="B11" s="15">
        <v>46259</v>
      </c>
      <c r="C11">
        <v>23850</v>
      </c>
      <c r="D11" t="s">
        <v>88</v>
      </c>
      <c r="E11">
        <v>0</v>
      </c>
      <c r="F11">
        <v>16.3</v>
      </c>
      <c r="G11">
        <v>26419.25</v>
      </c>
      <c r="H11">
        <v>32474</v>
      </c>
      <c r="I11">
        <v>1235</v>
      </c>
      <c r="J11">
        <v>19</v>
      </c>
      <c r="K11">
        <v>21.39</v>
      </c>
      <c r="L11">
        <v>0</v>
      </c>
      <c r="M11">
        <v>6054.75</v>
      </c>
      <c r="N11">
        <v>26.29</v>
      </c>
      <c r="O11">
        <v>65</v>
      </c>
      <c r="P11">
        <v>1235</v>
      </c>
      <c r="Q11">
        <v>19</v>
      </c>
      <c r="R11" s="10">
        <f t="shared" si="0"/>
        <v>0</v>
      </c>
    </row>
    <row r="12" spans="1:29">
      <c r="A12" t="s">
        <v>39</v>
      </c>
      <c r="B12" s="15">
        <v>46259</v>
      </c>
      <c r="C12">
        <v>24500</v>
      </c>
      <c r="D12" t="s">
        <v>88</v>
      </c>
      <c r="E12">
        <v>0</v>
      </c>
      <c r="F12">
        <v>208.4</v>
      </c>
      <c r="G12">
        <v>15795</v>
      </c>
      <c r="H12">
        <v>12060.75</v>
      </c>
      <c r="I12">
        <v>65</v>
      </c>
      <c r="J12">
        <v>1</v>
      </c>
      <c r="K12">
        <v>243</v>
      </c>
      <c r="L12">
        <v>0</v>
      </c>
      <c r="M12">
        <v>-3734.25</v>
      </c>
      <c r="N12">
        <v>185.55</v>
      </c>
      <c r="O12">
        <v>65</v>
      </c>
      <c r="P12">
        <v>65</v>
      </c>
      <c r="Q12">
        <v>1</v>
      </c>
      <c r="R12" s="10">
        <f t="shared" si="0"/>
        <v>0</v>
      </c>
    </row>
    <row r="13" spans="1:29">
      <c r="A13" t="s">
        <v>39</v>
      </c>
      <c r="B13" s="15">
        <v>46259</v>
      </c>
      <c r="C13">
        <v>24450</v>
      </c>
      <c r="D13" t="s">
        <v>88</v>
      </c>
      <c r="E13">
        <v>0</v>
      </c>
      <c r="F13">
        <v>179.8</v>
      </c>
      <c r="G13">
        <v>26487.5</v>
      </c>
      <c r="H13">
        <v>20826</v>
      </c>
      <c r="I13">
        <v>130</v>
      </c>
      <c r="J13">
        <v>2</v>
      </c>
      <c r="K13">
        <v>203.75</v>
      </c>
      <c r="L13">
        <v>0</v>
      </c>
      <c r="M13">
        <v>-5661.5</v>
      </c>
      <c r="N13">
        <v>160.19999999999999</v>
      </c>
      <c r="O13">
        <v>65</v>
      </c>
      <c r="P13">
        <v>130</v>
      </c>
      <c r="Q13">
        <v>2</v>
      </c>
      <c r="R13" s="10">
        <f t="shared" si="0"/>
        <v>0</v>
      </c>
    </row>
    <row r="14" spans="1:29">
      <c r="A14" t="s">
        <v>39</v>
      </c>
      <c r="B14" s="15">
        <v>46252</v>
      </c>
      <c r="C14">
        <v>24650</v>
      </c>
      <c r="D14" t="s">
        <v>83</v>
      </c>
      <c r="E14">
        <v>0</v>
      </c>
      <c r="F14">
        <v>2.9</v>
      </c>
      <c r="G14">
        <v>10757.5</v>
      </c>
      <c r="H14">
        <v>3087.5</v>
      </c>
      <c r="I14">
        <v>650</v>
      </c>
      <c r="J14">
        <v>10</v>
      </c>
      <c r="K14">
        <v>16.55</v>
      </c>
      <c r="L14">
        <v>0</v>
      </c>
      <c r="M14">
        <v>-7670</v>
      </c>
      <c r="N14">
        <v>4.75</v>
      </c>
      <c r="O14">
        <v>65</v>
      </c>
      <c r="P14">
        <v>650</v>
      </c>
      <c r="Q14">
        <v>10</v>
      </c>
      <c r="R14" s="10">
        <f t="shared" si="0"/>
        <v>0</v>
      </c>
    </row>
    <row r="15" spans="1:29">
      <c r="A15" t="s">
        <v>39</v>
      </c>
      <c r="B15" s="15">
        <v>46252</v>
      </c>
      <c r="C15">
        <v>24500</v>
      </c>
      <c r="D15" t="s">
        <v>88</v>
      </c>
      <c r="E15">
        <v>0</v>
      </c>
      <c r="F15">
        <v>171</v>
      </c>
      <c r="G15">
        <v>26273</v>
      </c>
      <c r="H15">
        <v>16445</v>
      </c>
      <c r="I15">
        <v>130</v>
      </c>
      <c r="J15">
        <v>2</v>
      </c>
      <c r="K15">
        <v>202.1</v>
      </c>
      <c r="L15">
        <v>0</v>
      </c>
      <c r="M15">
        <v>-9828</v>
      </c>
      <c r="N15">
        <v>126.5</v>
      </c>
      <c r="O15">
        <v>65</v>
      </c>
      <c r="P15">
        <v>130</v>
      </c>
      <c r="Q15">
        <v>2</v>
      </c>
      <c r="R15" s="10">
        <f t="shared" si="0"/>
        <v>0</v>
      </c>
    </row>
    <row r="16" spans="1:29">
      <c r="A16" t="s">
        <v>39</v>
      </c>
      <c r="B16" s="15">
        <v>46259</v>
      </c>
      <c r="C16">
        <v>24300</v>
      </c>
      <c r="D16" t="s">
        <v>83</v>
      </c>
      <c r="E16">
        <v>0</v>
      </c>
      <c r="F16">
        <v>177.15</v>
      </c>
      <c r="G16">
        <v>32246.5</v>
      </c>
      <c r="H16">
        <v>31473</v>
      </c>
      <c r="I16">
        <v>195</v>
      </c>
      <c r="J16">
        <v>3</v>
      </c>
      <c r="K16">
        <v>165.37</v>
      </c>
      <c r="L16">
        <v>0</v>
      </c>
      <c r="M16">
        <v>-773.5</v>
      </c>
      <c r="N16">
        <v>161.4</v>
      </c>
      <c r="O16">
        <v>65</v>
      </c>
      <c r="P16">
        <v>195</v>
      </c>
      <c r="Q16">
        <v>3</v>
      </c>
      <c r="R16" s="10">
        <f t="shared" si="0"/>
        <v>0</v>
      </c>
    </row>
    <row r="17" spans="1:29">
      <c r="A17" t="s">
        <v>39</v>
      </c>
      <c r="B17" s="15">
        <v>46252</v>
      </c>
      <c r="C17">
        <v>24200</v>
      </c>
      <c r="D17" t="s">
        <v>88</v>
      </c>
      <c r="E17">
        <v>0</v>
      </c>
      <c r="F17">
        <v>13.95</v>
      </c>
      <c r="G17">
        <v>10413</v>
      </c>
      <c r="H17">
        <v>14231.75</v>
      </c>
      <c r="I17">
        <v>585</v>
      </c>
      <c r="J17">
        <v>9</v>
      </c>
      <c r="K17">
        <v>17.8</v>
      </c>
      <c r="L17">
        <v>0</v>
      </c>
      <c r="M17">
        <v>3818.75</v>
      </c>
      <c r="N17">
        <v>24.33</v>
      </c>
      <c r="O17">
        <v>65</v>
      </c>
      <c r="P17">
        <v>585</v>
      </c>
      <c r="Q17">
        <v>9</v>
      </c>
      <c r="R17" s="10">
        <f t="shared" si="0"/>
        <v>0</v>
      </c>
    </row>
    <row r="18" spans="1:29">
      <c r="A18" t="s">
        <v>39</v>
      </c>
      <c r="B18" s="15">
        <v>46259</v>
      </c>
      <c r="C18">
        <v>24300</v>
      </c>
      <c r="D18" t="s">
        <v>88</v>
      </c>
      <c r="E18">
        <v>0</v>
      </c>
      <c r="F18">
        <v>106.75</v>
      </c>
      <c r="G18">
        <v>25593.75</v>
      </c>
      <c r="H18">
        <v>26006.5</v>
      </c>
      <c r="I18">
        <v>195</v>
      </c>
      <c r="J18">
        <v>3</v>
      </c>
      <c r="K18">
        <v>131.25</v>
      </c>
      <c r="L18">
        <v>0</v>
      </c>
      <c r="M18">
        <v>412.75</v>
      </c>
      <c r="N18">
        <v>133.37</v>
      </c>
      <c r="O18">
        <v>65</v>
      </c>
      <c r="P18">
        <v>195</v>
      </c>
      <c r="Q18">
        <v>3</v>
      </c>
      <c r="R18" s="10">
        <f t="shared" si="0"/>
        <v>0</v>
      </c>
    </row>
    <row r="19" spans="1:29">
      <c r="A19" t="s">
        <v>39</v>
      </c>
      <c r="B19" s="15">
        <v>46259</v>
      </c>
      <c r="C19">
        <v>24800</v>
      </c>
      <c r="D19" t="s">
        <v>83</v>
      </c>
      <c r="E19">
        <v>65</v>
      </c>
      <c r="F19">
        <v>17.55</v>
      </c>
      <c r="G19">
        <v>24303.5</v>
      </c>
      <c r="H19">
        <v>23868</v>
      </c>
      <c r="I19">
        <v>1105</v>
      </c>
      <c r="J19">
        <v>17</v>
      </c>
      <c r="K19">
        <v>21.99</v>
      </c>
      <c r="L19">
        <v>1</v>
      </c>
      <c r="M19">
        <v>705.25</v>
      </c>
      <c r="N19">
        <v>22.95</v>
      </c>
      <c r="O19">
        <v>65</v>
      </c>
      <c r="P19">
        <v>1040</v>
      </c>
      <c r="Q19">
        <v>16</v>
      </c>
      <c r="R19" s="10">
        <f t="shared" si="0"/>
        <v>1140.75</v>
      </c>
    </row>
    <row r="20" spans="1:29">
      <c r="A20" t="s">
        <v>39</v>
      </c>
      <c r="B20" s="15">
        <v>46259</v>
      </c>
      <c r="C20">
        <v>24850</v>
      </c>
      <c r="D20" t="s">
        <v>83</v>
      </c>
      <c r="E20">
        <v>390</v>
      </c>
      <c r="F20">
        <v>14.2</v>
      </c>
      <c r="G20">
        <v>9532.25</v>
      </c>
      <c r="H20">
        <v>1105</v>
      </c>
      <c r="I20">
        <v>455</v>
      </c>
      <c r="J20">
        <v>7</v>
      </c>
      <c r="K20">
        <v>20.95</v>
      </c>
      <c r="L20">
        <v>6</v>
      </c>
      <c r="M20">
        <v>-2889.25</v>
      </c>
      <c r="N20">
        <v>17</v>
      </c>
      <c r="O20">
        <v>65</v>
      </c>
      <c r="P20">
        <v>65</v>
      </c>
      <c r="Q20">
        <v>1</v>
      </c>
      <c r="R20" s="10">
        <f t="shared" si="0"/>
        <v>5538</v>
      </c>
    </row>
    <row r="21" spans="1:29">
      <c r="A21" t="s">
        <v>39</v>
      </c>
      <c r="B21" s="15">
        <v>46259</v>
      </c>
      <c r="C21">
        <v>23900</v>
      </c>
      <c r="D21" t="s">
        <v>88</v>
      </c>
      <c r="E21">
        <v>1495</v>
      </c>
      <c r="F21">
        <v>19.350000000000001</v>
      </c>
      <c r="G21">
        <v>30208.75</v>
      </c>
      <c r="H21">
        <v>1212.25</v>
      </c>
      <c r="I21">
        <v>1560</v>
      </c>
      <c r="J21">
        <v>24</v>
      </c>
      <c r="K21">
        <v>19.36</v>
      </c>
      <c r="L21">
        <v>23</v>
      </c>
      <c r="M21">
        <v>-68.25</v>
      </c>
      <c r="N21">
        <v>18.649999999999999</v>
      </c>
      <c r="O21">
        <v>65</v>
      </c>
      <c r="P21">
        <v>65</v>
      </c>
      <c r="Q21">
        <v>1</v>
      </c>
      <c r="R21" s="10">
        <f t="shared" si="0"/>
        <v>28928.250000000004</v>
      </c>
    </row>
    <row r="30" spans="1:29">
      <c r="A30" t="s">
        <v>50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116</v>
      </c>
      <c r="Q30" t="s">
        <v>117</v>
      </c>
      <c r="R30" t="s">
        <v>118</v>
      </c>
      <c r="S30" t="s">
        <v>119</v>
      </c>
      <c r="T30" t="s">
        <v>120</v>
      </c>
      <c r="U30" t="s">
        <v>121</v>
      </c>
      <c r="V30" t="s">
        <v>122</v>
      </c>
      <c r="W30" t="s">
        <v>123</v>
      </c>
      <c r="X30" t="s">
        <v>124</v>
      </c>
      <c r="Y30" t="s">
        <v>125</v>
      </c>
      <c r="Z30" t="s">
        <v>126</v>
      </c>
      <c r="AA30" t="s">
        <v>127</v>
      </c>
      <c r="AB30" t="s">
        <v>128</v>
      </c>
      <c r="AC30" t="s">
        <v>129</v>
      </c>
    </row>
    <row r="31" spans="1:29">
      <c r="A31" t="s">
        <v>130</v>
      </c>
      <c r="B31" t="s">
        <v>81</v>
      </c>
      <c r="C31" t="s">
        <v>177</v>
      </c>
      <c r="D31" t="s">
        <v>82</v>
      </c>
      <c r="E31" t="s">
        <v>132</v>
      </c>
      <c r="F31" t="s">
        <v>142</v>
      </c>
      <c r="G31">
        <v>65</v>
      </c>
      <c r="H31">
        <v>65</v>
      </c>
      <c r="I31" s="16">
        <v>0.64009259259259255</v>
      </c>
      <c r="J31">
        <v>1210087962</v>
      </c>
      <c r="K31" t="s">
        <v>134</v>
      </c>
      <c r="L31">
        <v>18.649999999999999</v>
      </c>
      <c r="M31">
        <v>0</v>
      </c>
      <c r="N31" s="16">
        <v>0.64009259259259255</v>
      </c>
      <c r="O31" t="s">
        <v>135</v>
      </c>
      <c r="P31">
        <v>1200000142902290</v>
      </c>
      <c r="Q31" t="s">
        <v>130</v>
      </c>
      <c r="S31" t="s">
        <v>136</v>
      </c>
      <c r="T31" t="s">
        <v>137</v>
      </c>
      <c r="U31" t="s">
        <v>130</v>
      </c>
      <c r="V31" t="s">
        <v>138</v>
      </c>
      <c r="W31">
        <v>0</v>
      </c>
      <c r="X31" t="s">
        <v>139</v>
      </c>
      <c r="Y31">
        <v>18.649999999999999</v>
      </c>
      <c r="Z31">
        <v>1212.25</v>
      </c>
      <c r="AC31">
        <v>0</v>
      </c>
    </row>
    <row r="32" spans="1:29">
      <c r="A32" t="s">
        <v>130</v>
      </c>
      <c r="B32" t="s">
        <v>81</v>
      </c>
      <c r="C32" t="s">
        <v>177</v>
      </c>
      <c r="D32" t="s">
        <v>82</v>
      </c>
      <c r="E32" t="s">
        <v>132</v>
      </c>
      <c r="F32" t="s">
        <v>133</v>
      </c>
      <c r="G32">
        <v>520</v>
      </c>
      <c r="H32">
        <v>520</v>
      </c>
      <c r="I32" s="16">
        <v>0.6398611111111111</v>
      </c>
      <c r="J32">
        <v>1210087934</v>
      </c>
      <c r="K32" t="s">
        <v>134</v>
      </c>
      <c r="L32">
        <v>18.649999999999999</v>
      </c>
      <c r="M32">
        <v>0</v>
      </c>
      <c r="N32" s="16">
        <v>0.6398611111111111</v>
      </c>
      <c r="O32" t="s">
        <v>135</v>
      </c>
      <c r="P32">
        <v>1200000142776950</v>
      </c>
      <c r="Q32" t="s">
        <v>130</v>
      </c>
      <c r="S32" t="s">
        <v>136</v>
      </c>
      <c r="T32" t="s">
        <v>137</v>
      </c>
      <c r="U32" t="s">
        <v>130</v>
      </c>
      <c r="V32" t="s">
        <v>138</v>
      </c>
      <c r="W32">
        <v>0</v>
      </c>
      <c r="X32" t="s">
        <v>139</v>
      </c>
      <c r="Y32">
        <v>18.649999999999999</v>
      </c>
      <c r="Z32">
        <v>9698</v>
      </c>
      <c r="AC32">
        <v>0</v>
      </c>
    </row>
    <row r="33" spans="1:29">
      <c r="A33" t="s">
        <v>130</v>
      </c>
      <c r="B33" t="s">
        <v>81</v>
      </c>
      <c r="C33" t="s">
        <v>178</v>
      </c>
      <c r="D33" t="s">
        <v>82</v>
      </c>
      <c r="E33" t="s">
        <v>132</v>
      </c>
      <c r="F33" t="s">
        <v>133</v>
      </c>
      <c r="G33">
        <v>65</v>
      </c>
      <c r="H33">
        <v>65</v>
      </c>
      <c r="I33" s="16">
        <v>0.63938657407407407</v>
      </c>
      <c r="J33">
        <v>1210087885</v>
      </c>
      <c r="K33" t="s">
        <v>134</v>
      </c>
      <c r="L33">
        <v>21.65</v>
      </c>
      <c r="M33">
        <v>0</v>
      </c>
      <c r="N33" s="16">
        <v>0.63938657407407407</v>
      </c>
      <c r="O33" t="s">
        <v>135</v>
      </c>
      <c r="P33">
        <v>1600000135743480</v>
      </c>
      <c r="Q33" t="s">
        <v>130</v>
      </c>
      <c r="S33" t="s">
        <v>136</v>
      </c>
      <c r="T33" t="s">
        <v>137</v>
      </c>
      <c r="U33" t="s">
        <v>130</v>
      </c>
      <c r="V33" t="s">
        <v>138</v>
      </c>
      <c r="W33">
        <v>0</v>
      </c>
      <c r="X33" t="s">
        <v>139</v>
      </c>
      <c r="Y33">
        <v>21.55</v>
      </c>
      <c r="Z33">
        <v>1400.75</v>
      </c>
      <c r="AC33">
        <v>0</v>
      </c>
    </row>
    <row r="34" spans="1:29">
      <c r="A34" t="s">
        <v>130</v>
      </c>
      <c r="B34" t="s">
        <v>81</v>
      </c>
      <c r="C34" t="s">
        <v>160</v>
      </c>
      <c r="D34" t="s">
        <v>82</v>
      </c>
      <c r="E34" t="s">
        <v>132</v>
      </c>
      <c r="F34" t="s">
        <v>142</v>
      </c>
      <c r="G34">
        <v>65</v>
      </c>
      <c r="H34">
        <v>65</v>
      </c>
      <c r="I34" s="16">
        <v>0.63542824074074078</v>
      </c>
      <c r="J34">
        <v>1210053368</v>
      </c>
      <c r="K34" t="s">
        <v>134</v>
      </c>
      <c r="L34">
        <v>132.1</v>
      </c>
      <c r="M34">
        <v>0</v>
      </c>
      <c r="N34" s="16">
        <v>0.63542824074074078</v>
      </c>
      <c r="O34" t="s">
        <v>135</v>
      </c>
      <c r="P34">
        <v>1500000143277600</v>
      </c>
      <c r="Q34" t="s">
        <v>130</v>
      </c>
      <c r="S34" t="s">
        <v>136</v>
      </c>
      <c r="T34" t="s">
        <v>145</v>
      </c>
      <c r="U34" t="s">
        <v>130</v>
      </c>
      <c r="V34" t="s">
        <v>138</v>
      </c>
      <c r="W34">
        <v>0</v>
      </c>
      <c r="X34" t="s">
        <v>139</v>
      </c>
      <c r="Y34">
        <v>137.80000000000001</v>
      </c>
      <c r="Z34">
        <v>8957</v>
      </c>
      <c r="AC34">
        <v>0</v>
      </c>
    </row>
    <row r="35" spans="1:29">
      <c r="A35" t="s">
        <v>130</v>
      </c>
      <c r="B35" t="s">
        <v>81</v>
      </c>
      <c r="C35" t="s">
        <v>160</v>
      </c>
      <c r="D35" t="s">
        <v>82</v>
      </c>
      <c r="E35" t="s">
        <v>132</v>
      </c>
      <c r="F35" t="s">
        <v>142</v>
      </c>
      <c r="G35">
        <v>65</v>
      </c>
      <c r="H35">
        <v>130</v>
      </c>
      <c r="I35" s="16">
        <v>0.63542824074074078</v>
      </c>
      <c r="J35">
        <v>1210053367</v>
      </c>
      <c r="K35" t="s">
        <v>134</v>
      </c>
      <c r="L35">
        <v>134.85</v>
      </c>
      <c r="M35">
        <v>0</v>
      </c>
      <c r="N35" s="16">
        <v>0.63542824074074078</v>
      </c>
      <c r="O35" t="s">
        <v>135</v>
      </c>
      <c r="P35">
        <v>1500000143276020</v>
      </c>
      <c r="Q35" t="s">
        <v>130</v>
      </c>
      <c r="S35" t="s">
        <v>136</v>
      </c>
      <c r="T35" t="s">
        <v>145</v>
      </c>
      <c r="U35" t="s">
        <v>130</v>
      </c>
      <c r="V35" t="s">
        <v>138</v>
      </c>
      <c r="W35">
        <v>0</v>
      </c>
      <c r="X35" t="s">
        <v>139</v>
      </c>
      <c r="Y35">
        <v>137.72999999999999</v>
      </c>
      <c r="Z35">
        <v>17904.25</v>
      </c>
      <c r="AC35">
        <v>0</v>
      </c>
    </row>
    <row r="36" spans="1:29">
      <c r="A36" t="s">
        <v>130</v>
      </c>
      <c r="B36" t="s">
        <v>81</v>
      </c>
      <c r="C36" t="s">
        <v>160</v>
      </c>
      <c r="D36" t="s">
        <v>82</v>
      </c>
      <c r="E36" t="s">
        <v>132</v>
      </c>
      <c r="F36" t="s">
        <v>142</v>
      </c>
      <c r="G36">
        <v>65</v>
      </c>
      <c r="H36">
        <v>130</v>
      </c>
      <c r="I36" s="16">
        <v>0.63542824074074078</v>
      </c>
      <c r="J36">
        <v>1210053367</v>
      </c>
      <c r="K36" t="s">
        <v>134</v>
      </c>
      <c r="L36">
        <v>134.85</v>
      </c>
      <c r="M36">
        <v>0</v>
      </c>
      <c r="N36" s="16">
        <v>0.63542824074074078</v>
      </c>
      <c r="O36" t="s">
        <v>140</v>
      </c>
      <c r="P36">
        <v>1500000143276020</v>
      </c>
      <c r="Q36" t="s">
        <v>130</v>
      </c>
      <c r="S36" t="s">
        <v>136</v>
      </c>
      <c r="T36" t="s">
        <v>145</v>
      </c>
      <c r="U36" t="s">
        <v>130</v>
      </c>
      <c r="V36" t="s">
        <v>138</v>
      </c>
      <c r="W36">
        <v>65</v>
      </c>
      <c r="X36" t="s">
        <v>139</v>
      </c>
      <c r="Y36">
        <v>137.75</v>
      </c>
      <c r="Z36">
        <v>8953.75</v>
      </c>
      <c r="AC36">
        <v>0</v>
      </c>
    </row>
    <row r="37" spans="1:29">
      <c r="A37" t="s">
        <v>130</v>
      </c>
      <c r="B37" t="s">
        <v>81</v>
      </c>
      <c r="C37" t="s">
        <v>161</v>
      </c>
      <c r="D37" t="s">
        <v>82</v>
      </c>
      <c r="E37" t="s">
        <v>132</v>
      </c>
      <c r="F37" t="s">
        <v>133</v>
      </c>
      <c r="G37">
        <v>65</v>
      </c>
      <c r="H37">
        <v>130</v>
      </c>
      <c r="I37" s="16">
        <v>0.63541666666666663</v>
      </c>
      <c r="J37">
        <v>1210053366</v>
      </c>
      <c r="K37" t="s">
        <v>134</v>
      </c>
      <c r="L37">
        <v>148.19999999999999</v>
      </c>
      <c r="M37">
        <v>0</v>
      </c>
      <c r="N37" s="16">
        <v>0.63541666666666663</v>
      </c>
      <c r="O37" t="s">
        <v>135</v>
      </c>
      <c r="P37">
        <v>1500000143270850</v>
      </c>
      <c r="Q37" t="s">
        <v>130</v>
      </c>
      <c r="S37" t="s">
        <v>136</v>
      </c>
      <c r="T37" t="s">
        <v>145</v>
      </c>
      <c r="U37" t="s">
        <v>130</v>
      </c>
      <c r="V37" t="s">
        <v>138</v>
      </c>
      <c r="W37">
        <v>0</v>
      </c>
      <c r="X37" t="s">
        <v>139</v>
      </c>
      <c r="Y37">
        <v>145.80000000000001</v>
      </c>
      <c r="Z37">
        <v>18954</v>
      </c>
      <c r="AC37">
        <v>0</v>
      </c>
    </row>
    <row r="38" spans="1:29">
      <c r="A38" t="s">
        <v>130</v>
      </c>
      <c r="B38" t="s">
        <v>81</v>
      </c>
      <c r="C38" t="s">
        <v>161</v>
      </c>
      <c r="D38" t="s">
        <v>82</v>
      </c>
      <c r="E38" t="s">
        <v>132</v>
      </c>
      <c r="F38" t="s">
        <v>133</v>
      </c>
      <c r="G38">
        <v>65</v>
      </c>
      <c r="H38">
        <v>130</v>
      </c>
      <c r="I38" s="16">
        <v>0.63541666666666663</v>
      </c>
      <c r="J38">
        <v>1210053366</v>
      </c>
      <c r="K38" t="s">
        <v>134</v>
      </c>
      <c r="L38">
        <v>148.19999999999999</v>
      </c>
      <c r="M38">
        <v>0</v>
      </c>
      <c r="N38" s="16">
        <v>0.63541666666666663</v>
      </c>
      <c r="O38" t="s">
        <v>140</v>
      </c>
      <c r="P38">
        <v>1500000143270850</v>
      </c>
      <c r="Q38" t="s">
        <v>130</v>
      </c>
      <c r="S38" t="s">
        <v>136</v>
      </c>
      <c r="T38" t="s">
        <v>145</v>
      </c>
      <c r="U38" t="s">
        <v>130</v>
      </c>
      <c r="V38" t="s">
        <v>138</v>
      </c>
      <c r="W38">
        <v>65</v>
      </c>
      <c r="X38" t="s">
        <v>139</v>
      </c>
      <c r="Y38">
        <v>145.80000000000001</v>
      </c>
      <c r="Z38">
        <v>9477</v>
      </c>
      <c r="AC38">
        <v>0</v>
      </c>
    </row>
    <row r="39" spans="1:29">
      <c r="A39" t="s">
        <v>130</v>
      </c>
      <c r="B39" t="s">
        <v>81</v>
      </c>
      <c r="C39" t="s">
        <v>161</v>
      </c>
      <c r="D39" t="s">
        <v>82</v>
      </c>
      <c r="E39" t="s">
        <v>132</v>
      </c>
      <c r="F39" t="s">
        <v>133</v>
      </c>
      <c r="G39">
        <v>65</v>
      </c>
      <c r="H39">
        <v>65</v>
      </c>
      <c r="I39" s="16">
        <v>0.63541666666666663</v>
      </c>
      <c r="J39">
        <v>1210053365</v>
      </c>
      <c r="K39" t="s">
        <v>134</v>
      </c>
      <c r="L39">
        <v>148.19999999999999</v>
      </c>
      <c r="M39">
        <v>0</v>
      </c>
      <c r="N39" s="16">
        <v>0.63541666666666663</v>
      </c>
      <c r="O39" t="s">
        <v>135</v>
      </c>
      <c r="P39">
        <v>1500000143270840</v>
      </c>
      <c r="Q39" t="s">
        <v>130</v>
      </c>
      <c r="S39" t="s">
        <v>136</v>
      </c>
      <c r="T39" t="s">
        <v>145</v>
      </c>
      <c r="U39" t="s">
        <v>130</v>
      </c>
      <c r="V39" t="s">
        <v>138</v>
      </c>
      <c r="W39">
        <v>0</v>
      </c>
      <c r="X39" t="s">
        <v>139</v>
      </c>
      <c r="Y39">
        <v>145.80000000000001</v>
      </c>
      <c r="Z39">
        <v>9477</v>
      </c>
      <c r="AC39">
        <v>0</v>
      </c>
    </row>
    <row r="40" spans="1:29">
      <c r="A40" t="s">
        <v>130</v>
      </c>
      <c r="B40" t="s">
        <v>81</v>
      </c>
      <c r="C40" t="s">
        <v>160</v>
      </c>
      <c r="D40" t="s">
        <v>82</v>
      </c>
      <c r="E40" t="s">
        <v>132</v>
      </c>
      <c r="F40" t="s">
        <v>133</v>
      </c>
      <c r="G40">
        <v>130</v>
      </c>
      <c r="H40">
        <v>130</v>
      </c>
      <c r="I40" s="16">
        <v>0.62519675925925922</v>
      </c>
      <c r="J40">
        <v>1210053359</v>
      </c>
      <c r="K40" t="s">
        <v>134</v>
      </c>
      <c r="L40">
        <v>142.4</v>
      </c>
      <c r="M40">
        <v>0</v>
      </c>
      <c r="N40" s="16">
        <v>0.62519675925925922</v>
      </c>
      <c r="O40" t="s">
        <v>135</v>
      </c>
      <c r="P40">
        <v>1500000136989560</v>
      </c>
      <c r="Q40" t="s">
        <v>130</v>
      </c>
      <c r="S40" t="s">
        <v>136</v>
      </c>
      <c r="T40" t="s">
        <v>145</v>
      </c>
      <c r="U40" t="s">
        <v>130</v>
      </c>
      <c r="V40" t="s">
        <v>138</v>
      </c>
      <c r="W40">
        <v>0</v>
      </c>
      <c r="X40" t="s">
        <v>139</v>
      </c>
      <c r="Y40">
        <v>140</v>
      </c>
      <c r="Z40">
        <v>18200</v>
      </c>
      <c r="AC40">
        <v>0</v>
      </c>
    </row>
    <row r="41" spans="1:29">
      <c r="A41" t="s">
        <v>130</v>
      </c>
      <c r="B41" t="s">
        <v>81</v>
      </c>
      <c r="C41" t="s">
        <v>161</v>
      </c>
      <c r="D41" t="s">
        <v>82</v>
      </c>
      <c r="E41" t="s">
        <v>132</v>
      </c>
      <c r="F41" t="s">
        <v>142</v>
      </c>
      <c r="G41">
        <v>65</v>
      </c>
      <c r="H41">
        <v>130</v>
      </c>
      <c r="I41" s="16">
        <v>0.62519675925925922</v>
      </c>
      <c r="J41">
        <v>1210053358</v>
      </c>
      <c r="K41" t="s">
        <v>134</v>
      </c>
      <c r="L41">
        <v>142.5</v>
      </c>
      <c r="M41">
        <v>0</v>
      </c>
      <c r="N41" s="16">
        <v>0.62519675925925922</v>
      </c>
      <c r="O41" t="s">
        <v>135</v>
      </c>
      <c r="P41">
        <v>1500000136989490</v>
      </c>
      <c r="Q41" t="s">
        <v>130</v>
      </c>
      <c r="S41" t="s">
        <v>136</v>
      </c>
      <c r="T41" t="s">
        <v>145</v>
      </c>
      <c r="U41" t="s">
        <v>130</v>
      </c>
      <c r="V41" t="s">
        <v>138</v>
      </c>
      <c r="W41">
        <v>0</v>
      </c>
      <c r="X41" t="s">
        <v>139</v>
      </c>
      <c r="Y41">
        <v>145</v>
      </c>
      <c r="Z41">
        <v>18850</v>
      </c>
      <c r="AC41">
        <v>0</v>
      </c>
    </row>
    <row r="42" spans="1:29">
      <c r="A42" t="s">
        <v>130</v>
      </c>
      <c r="B42" t="s">
        <v>81</v>
      </c>
      <c r="C42" t="s">
        <v>161</v>
      </c>
      <c r="D42" t="s">
        <v>82</v>
      </c>
      <c r="E42" t="s">
        <v>132</v>
      </c>
      <c r="F42" t="s">
        <v>142</v>
      </c>
      <c r="G42">
        <v>65</v>
      </c>
      <c r="H42">
        <v>130</v>
      </c>
      <c r="I42" s="16">
        <v>0.62519675925925922</v>
      </c>
      <c r="J42">
        <v>1210053358</v>
      </c>
      <c r="K42" t="s">
        <v>134</v>
      </c>
      <c r="L42">
        <v>142.5</v>
      </c>
      <c r="M42">
        <v>0</v>
      </c>
      <c r="N42" s="16">
        <v>0.62519675925925922</v>
      </c>
      <c r="O42" t="s">
        <v>140</v>
      </c>
      <c r="P42">
        <v>1500000136989490</v>
      </c>
      <c r="Q42" t="s">
        <v>130</v>
      </c>
      <c r="S42" t="s">
        <v>136</v>
      </c>
      <c r="T42" t="s">
        <v>145</v>
      </c>
      <c r="U42" t="s">
        <v>130</v>
      </c>
      <c r="V42" t="s">
        <v>138</v>
      </c>
      <c r="W42">
        <v>65</v>
      </c>
      <c r="X42" t="s">
        <v>139</v>
      </c>
      <c r="Y42">
        <v>145</v>
      </c>
      <c r="Z42">
        <v>9425</v>
      </c>
      <c r="AC42">
        <v>0</v>
      </c>
    </row>
    <row r="43" spans="1:29">
      <c r="A43" t="s">
        <v>130</v>
      </c>
      <c r="B43" t="s">
        <v>81</v>
      </c>
      <c r="C43" t="s">
        <v>161</v>
      </c>
      <c r="D43" t="s">
        <v>82</v>
      </c>
      <c r="E43" t="s">
        <v>132</v>
      </c>
      <c r="F43" t="s">
        <v>142</v>
      </c>
      <c r="G43">
        <v>65</v>
      </c>
      <c r="H43">
        <v>65</v>
      </c>
      <c r="I43" s="16">
        <v>0.6174074074074074</v>
      </c>
      <c r="J43">
        <v>1210053345</v>
      </c>
      <c r="K43" t="s">
        <v>134</v>
      </c>
      <c r="L43">
        <v>147.65</v>
      </c>
      <c r="M43">
        <v>0</v>
      </c>
      <c r="N43" s="16">
        <v>0.6174074074074074</v>
      </c>
      <c r="O43" t="s">
        <v>135</v>
      </c>
      <c r="P43">
        <v>1500000132690850</v>
      </c>
      <c r="Q43" t="s">
        <v>130</v>
      </c>
      <c r="S43" t="s">
        <v>136</v>
      </c>
      <c r="T43" t="s">
        <v>145</v>
      </c>
      <c r="U43" t="s">
        <v>130</v>
      </c>
      <c r="V43" t="s">
        <v>138</v>
      </c>
      <c r="W43">
        <v>0</v>
      </c>
      <c r="X43" t="s">
        <v>139</v>
      </c>
      <c r="Y43">
        <v>150.6</v>
      </c>
      <c r="Z43">
        <v>9789</v>
      </c>
      <c r="AC43">
        <v>0</v>
      </c>
    </row>
    <row r="44" spans="1:29">
      <c r="A44" t="s">
        <v>130</v>
      </c>
      <c r="B44" t="s">
        <v>81</v>
      </c>
      <c r="C44" t="s">
        <v>161</v>
      </c>
      <c r="D44" t="s">
        <v>82</v>
      </c>
      <c r="E44" t="s">
        <v>132</v>
      </c>
      <c r="F44" t="s">
        <v>142</v>
      </c>
      <c r="G44">
        <v>65</v>
      </c>
      <c r="H44">
        <v>65</v>
      </c>
      <c r="I44" s="16">
        <v>0.61739583333333337</v>
      </c>
      <c r="J44">
        <v>1210053344</v>
      </c>
      <c r="K44" t="s">
        <v>134</v>
      </c>
      <c r="L44">
        <v>147.05000000000001</v>
      </c>
      <c r="M44">
        <v>0</v>
      </c>
      <c r="N44" s="16">
        <v>0.61739583333333337</v>
      </c>
      <c r="O44" t="s">
        <v>135</v>
      </c>
      <c r="P44">
        <v>1500000132682130</v>
      </c>
      <c r="Q44" t="s">
        <v>130</v>
      </c>
      <c r="S44" t="s">
        <v>136</v>
      </c>
      <c r="T44" t="s">
        <v>145</v>
      </c>
      <c r="U44" t="s">
        <v>130</v>
      </c>
      <c r="V44" t="s">
        <v>138</v>
      </c>
      <c r="W44">
        <v>0</v>
      </c>
      <c r="X44" t="s">
        <v>139</v>
      </c>
      <c r="Y44">
        <v>150.6</v>
      </c>
      <c r="Z44">
        <v>9789</v>
      </c>
      <c r="AC44">
        <v>0</v>
      </c>
    </row>
    <row r="45" spans="1:29">
      <c r="A45" t="s">
        <v>130</v>
      </c>
      <c r="B45" t="s">
        <v>81</v>
      </c>
      <c r="C45" t="s">
        <v>160</v>
      </c>
      <c r="D45" t="s">
        <v>82</v>
      </c>
      <c r="E45" t="s">
        <v>132</v>
      </c>
      <c r="F45" t="s">
        <v>133</v>
      </c>
      <c r="G45">
        <v>65</v>
      </c>
      <c r="H45">
        <v>65</v>
      </c>
      <c r="I45" s="16">
        <v>0.61739583333333337</v>
      </c>
      <c r="J45">
        <v>1210053343</v>
      </c>
      <c r="K45" t="s">
        <v>134</v>
      </c>
      <c r="L45">
        <v>139.4</v>
      </c>
      <c r="M45">
        <v>0</v>
      </c>
      <c r="N45" s="16">
        <v>0.61739583333333337</v>
      </c>
      <c r="O45" t="s">
        <v>135</v>
      </c>
      <c r="P45">
        <v>1500000132681530</v>
      </c>
      <c r="Q45" t="s">
        <v>130</v>
      </c>
      <c r="S45" t="s">
        <v>136</v>
      </c>
      <c r="T45" t="s">
        <v>145</v>
      </c>
      <c r="U45" t="s">
        <v>130</v>
      </c>
      <c r="V45" t="s">
        <v>138</v>
      </c>
      <c r="W45">
        <v>0</v>
      </c>
      <c r="X45" t="s">
        <v>139</v>
      </c>
      <c r="Y45">
        <v>136.55000000000001</v>
      </c>
      <c r="Z45">
        <v>8875.75</v>
      </c>
      <c r="AC45">
        <v>0</v>
      </c>
    </row>
    <row r="46" spans="1:29">
      <c r="A46" t="s">
        <v>130</v>
      </c>
      <c r="B46" t="s">
        <v>81</v>
      </c>
      <c r="C46" t="s">
        <v>160</v>
      </c>
      <c r="D46" t="s">
        <v>82</v>
      </c>
      <c r="E46" t="s">
        <v>132</v>
      </c>
      <c r="F46" t="s">
        <v>133</v>
      </c>
      <c r="G46">
        <v>65</v>
      </c>
      <c r="H46">
        <v>65</v>
      </c>
      <c r="I46" s="16">
        <v>0.61738425925925922</v>
      </c>
      <c r="J46">
        <v>1210053342</v>
      </c>
      <c r="K46" t="s">
        <v>134</v>
      </c>
      <c r="L46">
        <v>139.4</v>
      </c>
      <c r="M46">
        <v>0</v>
      </c>
      <c r="N46" s="16">
        <v>0.61738425925925922</v>
      </c>
      <c r="O46" t="s">
        <v>135</v>
      </c>
      <c r="P46">
        <v>1500000132676680</v>
      </c>
      <c r="Q46" t="s">
        <v>130</v>
      </c>
      <c r="S46" t="s">
        <v>136</v>
      </c>
      <c r="T46" t="s">
        <v>145</v>
      </c>
      <c r="U46" t="s">
        <v>130</v>
      </c>
      <c r="V46" t="s">
        <v>138</v>
      </c>
      <c r="W46">
        <v>0</v>
      </c>
      <c r="X46" t="s">
        <v>139</v>
      </c>
      <c r="Y46">
        <v>136.6</v>
      </c>
      <c r="Z46">
        <v>8879</v>
      </c>
      <c r="AC46">
        <v>0</v>
      </c>
    </row>
    <row r="47" spans="1:29">
      <c r="A47" t="s">
        <v>130</v>
      </c>
      <c r="B47" t="s">
        <v>81</v>
      </c>
      <c r="C47" t="s">
        <v>179</v>
      </c>
      <c r="D47" t="s">
        <v>82</v>
      </c>
      <c r="E47" t="s">
        <v>132</v>
      </c>
      <c r="F47" t="s">
        <v>142</v>
      </c>
      <c r="G47">
        <v>65</v>
      </c>
      <c r="H47">
        <v>65</v>
      </c>
      <c r="I47" s="16">
        <v>0.60071759259259261</v>
      </c>
      <c r="J47">
        <v>1210085547</v>
      </c>
      <c r="K47" t="s">
        <v>134</v>
      </c>
      <c r="L47">
        <v>17</v>
      </c>
      <c r="M47">
        <v>0</v>
      </c>
      <c r="N47" s="16">
        <v>0.60071759259259261</v>
      </c>
      <c r="O47" t="s">
        <v>135</v>
      </c>
      <c r="P47">
        <v>1000000119805100</v>
      </c>
      <c r="Q47" t="s">
        <v>130</v>
      </c>
      <c r="S47" t="s">
        <v>136</v>
      </c>
      <c r="T47" t="s">
        <v>137</v>
      </c>
      <c r="U47" t="s">
        <v>130</v>
      </c>
      <c r="V47" t="s">
        <v>138</v>
      </c>
      <c r="W47">
        <v>0</v>
      </c>
      <c r="X47" t="s">
        <v>139</v>
      </c>
      <c r="Y47">
        <v>17</v>
      </c>
      <c r="Z47">
        <v>1105</v>
      </c>
      <c r="AC47">
        <v>0</v>
      </c>
    </row>
    <row r="48" spans="1:29">
      <c r="A48" t="s">
        <v>130</v>
      </c>
      <c r="B48" t="s">
        <v>81</v>
      </c>
      <c r="C48" t="s">
        <v>177</v>
      </c>
      <c r="D48" t="s">
        <v>82</v>
      </c>
      <c r="E48" t="s">
        <v>132</v>
      </c>
      <c r="F48" t="s">
        <v>133</v>
      </c>
      <c r="G48">
        <v>65</v>
      </c>
      <c r="H48">
        <v>65</v>
      </c>
      <c r="I48" s="16">
        <v>0.60059027777777774</v>
      </c>
      <c r="J48">
        <v>1210085544</v>
      </c>
      <c r="K48" t="s">
        <v>134</v>
      </c>
      <c r="L48">
        <v>18.8</v>
      </c>
      <c r="M48">
        <v>0</v>
      </c>
      <c r="N48" s="16">
        <v>0.60059027777777774</v>
      </c>
      <c r="O48" t="s">
        <v>135</v>
      </c>
      <c r="P48">
        <v>1200000124487000</v>
      </c>
      <c r="Q48" t="s">
        <v>130</v>
      </c>
      <c r="S48" t="s">
        <v>136</v>
      </c>
      <c r="T48" t="s">
        <v>137</v>
      </c>
      <c r="U48" t="s">
        <v>130</v>
      </c>
      <c r="V48" t="s">
        <v>138</v>
      </c>
      <c r="W48">
        <v>0</v>
      </c>
      <c r="X48" t="s">
        <v>139</v>
      </c>
      <c r="Y48">
        <v>18.75</v>
      </c>
      <c r="Z48">
        <v>1218.75</v>
      </c>
      <c r="AC48">
        <v>0</v>
      </c>
    </row>
    <row r="49" spans="1:29">
      <c r="A49" t="s">
        <v>130</v>
      </c>
      <c r="B49" t="s">
        <v>81</v>
      </c>
      <c r="C49" t="s">
        <v>160</v>
      </c>
      <c r="D49" t="s">
        <v>82</v>
      </c>
      <c r="E49" t="s">
        <v>132</v>
      </c>
      <c r="F49" t="s">
        <v>142</v>
      </c>
      <c r="G49">
        <v>65</v>
      </c>
      <c r="H49">
        <v>65</v>
      </c>
      <c r="I49" s="16">
        <v>0.57717592592592593</v>
      </c>
      <c r="J49">
        <v>1210053293</v>
      </c>
      <c r="K49" t="s">
        <v>134</v>
      </c>
      <c r="L49">
        <v>136.19999999999999</v>
      </c>
      <c r="M49">
        <v>0</v>
      </c>
      <c r="N49" s="16">
        <v>0.57717592592592593</v>
      </c>
      <c r="O49" t="s">
        <v>135</v>
      </c>
      <c r="P49">
        <v>1500000111130950</v>
      </c>
      <c r="Q49" t="s">
        <v>130</v>
      </c>
      <c r="S49" t="s">
        <v>136</v>
      </c>
      <c r="T49" t="s">
        <v>145</v>
      </c>
      <c r="U49" t="s">
        <v>130</v>
      </c>
      <c r="V49" t="s">
        <v>138</v>
      </c>
      <c r="W49">
        <v>0</v>
      </c>
      <c r="X49" t="s">
        <v>139</v>
      </c>
      <c r="Y49">
        <v>138.85</v>
      </c>
      <c r="Z49">
        <v>9025.25</v>
      </c>
      <c r="AC49">
        <v>0</v>
      </c>
    </row>
    <row r="50" spans="1:29">
      <c r="A50" t="s">
        <v>130</v>
      </c>
      <c r="B50" t="s">
        <v>81</v>
      </c>
      <c r="C50" t="s">
        <v>161</v>
      </c>
      <c r="D50" t="s">
        <v>82</v>
      </c>
      <c r="E50" t="s">
        <v>132</v>
      </c>
      <c r="F50" t="s">
        <v>133</v>
      </c>
      <c r="G50">
        <v>65</v>
      </c>
      <c r="H50">
        <v>65</v>
      </c>
      <c r="I50" s="16">
        <v>0.57717592592592593</v>
      </c>
      <c r="J50">
        <v>1210053292</v>
      </c>
      <c r="K50" t="s">
        <v>134</v>
      </c>
      <c r="L50">
        <v>154.69999999999999</v>
      </c>
      <c r="M50">
        <v>0</v>
      </c>
      <c r="N50" s="16">
        <v>0.57717592592592593</v>
      </c>
      <c r="O50" t="s">
        <v>135</v>
      </c>
      <c r="P50">
        <v>1500000111130000</v>
      </c>
      <c r="Q50" t="s">
        <v>130</v>
      </c>
      <c r="S50" t="s">
        <v>136</v>
      </c>
      <c r="T50" t="s">
        <v>145</v>
      </c>
      <c r="U50" t="s">
        <v>130</v>
      </c>
      <c r="V50" t="s">
        <v>138</v>
      </c>
      <c r="W50">
        <v>0</v>
      </c>
      <c r="X50" t="s">
        <v>139</v>
      </c>
      <c r="Y50">
        <v>151.55000000000001</v>
      </c>
      <c r="Z50">
        <v>9850.75</v>
      </c>
      <c r="AC50">
        <v>0</v>
      </c>
    </row>
    <row r="51" spans="1:29">
      <c r="A51" t="s">
        <v>130</v>
      </c>
      <c r="B51" t="s">
        <v>81</v>
      </c>
      <c r="C51" t="s">
        <v>177</v>
      </c>
      <c r="D51" t="s">
        <v>82</v>
      </c>
      <c r="E51" t="s">
        <v>132</v>
      </c>
      <c r="F51" t="s">
        <v>133</v>
      </c>
      <c r="G51">
        <v>65</v>
      </c>
      <c r="H51">
        <v>130</v>
      </c>
      <c r="I51" s="16">
        <v>0.55651620370370369</v>
      </c>
      <c r="J51">
        <v>1210083191</v>
      </c>
      <c r="K51" t="s">
        <v>134</v>
      </c>
      <c r="L51">
        <v>18.55</v>
      </c>
      <c r="M51">
        <v>0</v>
      </c>
      <c r="N51" s="16">
        <v>0.55651620370370369</v>
      </c>
      <c r="O51" t="s">
        <v>135</v>
      </c>
      <c r="P51">
        <v>1200000104203080</v>
      </c>
      <c r="Q51" t="s">
        <v>130</v>
      </c>
      <c r="S51" t="s">
        <v>136</v>
      </c>
      <c r="T51" t="s">
        <v>137</v>
      </c>
      <c r="U51" t="s">
        <v>130</v>
      </c>
      <c r="V51" t="s">
        <v>138</v>
      </c>
      <c r="W51">
        <v>0</v>
      </c>
      <c r="X51" t="s">
        <v>139</v>
      </c>
      <c r="Y51">
        <v>18.45</v>
      </c>
      <c r="Z51">
        <v>2398.5</v>
      </c>
      <c r="AC51">
        <v>0</v>
      </c>
    </row>
    <row r="52" spans="1:29">
      <c r="A52" t="s">
        <v>130</v>
      </c>
      <c r="B52" t="s">
        <v>81</v>
      </c>
      <c r="C52" t="s">
        <v>177</v>
      </c>
      <c r="D52" t="s">
        <v>82</v>
      </c>
      <c r="E52" t="s">
        <v>132</v>
      </c>
      <c r="F52" t="s">
        <v>133</v>
      </c>
      <c r="G52">
        <v>65</v>
      </c>
      <c r="H52">
        <v>130</v>
      </c>
      <c r="I52" s="16">
        <v>0.55651620370370369</v>
      </c>
      <c r="J52">
        <v>1210083191</v>
      </c>
      <c r="K52" t="s">
        <v>134</v>
      </c>
      <c r="L52">
        <v>18.55</v>
      </c>
      <c r="M52">
        <v>0</v>
      </c>
      <c r="N52" s="16">
        <v>0.55651620370370369</v>
      </c>
      <c r="O52" t="s">
        <v>140</v>
      </c>
      <c r="P52">
        <v>1200000104203080</v>
      </c>
      <c r="Q52" t="s">
        <v>130</v>
      </c>
      <c r="S52" t="s">
        <v>136</v>
      </c>
      <c r="T52" t="s">
        <v>137</v>
      </c>
      <c r="U52" t="s">
        <v>130</v>
      </c>
      <c r="V52" t="s">
        <v>138</v>
      </c>
      <c r="W52">
        <v>65</v>
      </c>
      <c r="X52" t="s">
        <v>139</v>
      </c>
      <c r="Y52">
        <v>18.45</v>
      </c>
      <c r="Z52">
        <v>1199.25</v>
      </c>
      <c r="AC52">
        <v>0</v>
      </c>
    </row>
    <row r="53" spans="1:29">
      <c r="A53" t="s">
        <v>130</v>
      </c>
      <c r="B53" t="s">
        <v>81</v>
      </c>
      <c r="C53" t="s">
        <v>179</v>
      </c>
      <c r="D53" t="s">
        <v>82</v>
      </c>
      <c r="E53" t="s">
        <v>132</v>
      </c>
      <c r="F53" t="s">
        <v>133</v>
      </c>
      <c r="G53">
        <v>130</v>
      </c>
      <c r="H53">
        <v>455</v>
      </c>
      <c r="I53" s="16">
        <v>0.55364583333333328</v>
      </c>
      <c r="J53">
        <v>1210083119</v>
      </c>
      <c r="K53" t="s">
        <v>134</v>
      </c>
      <c r="L53">
        <v>21.15</v>
      </c>
      <c r="M53">
        <v>0</v>
      </c>
      <c r="N53" s="16">
        <v>0.55364583333333328</v>
      </c>
      <c r="O53" t="s">
        <v>135</v>
      </c>
      <c r="P53">
        <v>1000000097140020</v>
      </c>
      <c r="Q53" t="s">
        <v>130</v>
      </c>
      <c r="S53" t="s">
        <v>136</v>
      </c>
      <c r="T53" t="s">
        <v>137</v>
      </c>
      <c r="U53" t="s">
        <v>130</v>
      </c>
      <c r="V53" t="s">
        <v>138</v>
      </c>
      <c r="W53">
        <v>0</v>
      </c>
      <c r="X53" t="s">
        <v>139</v>
      </c>
      <c r="Y53">
        <v>20.95</v>
      </c>
      <c r="Z53">
        <v>9532.25</v>
      </c>
      <c r="AC53">
        <v>0</v>
      </c>
    </row>
    <row r="54" spans="1:29">
      <c r="A54" t="s">
        <v>130</v>
      </c>
      <c r="B54" t="s">
        <v>81</v>
      </c>
      <c r="C54" t="s">
        <v>179</v>
      </c>
      <c r="D54" t="s">
        <v>82</v>
      </c>
      <c r="E54" t="s">
        <v>132</v>
      </c>
      <c r="F54" t="s">
        <v>133</v>
      </c>
      <c r="G54">
        <v>130</v>
      </c>
      <c r="H54">
        <v>455</v>
      </c>
      <c r="I54" s="16">
        <v>0.55364583333333328</v>
      </c>
      <c r="J54">
        <v>1210083119</v>
      </c>
      <c r="K54" t="s">
        <v>134</v>
      </c>
      <c r="L54">
        <v>21.15</v>
      </c>
      <c r="M54">
        <v>0</v>
      </c>
      <c r="N54" s="16">
        <v>0.55364583333333328</v>
      </c>
      <c r="O54" t="s">
        <v>140</v>
      </c>
      <c r="P54">
        <v>1000000097140020</v>
      </c>
      <c r="Q54" t="s">
        <v>130</v>
      </c>
      <c r="S54" t="s">
        <v>136</v>
      </c>
      <c r="T54" t="s">
        <v>137</v>
      </c>
      <c r="U54" t="s">
        <v>130</v>
      </c>
      <c r="V54" t="s">
        <v>138</v>
      </c>
      <c r="W54">
        <v>130</v>
      </c>
      <c r="X54" t="s">
        <v>139</v>
      </c>
      <c r="Y54">
        <v>20.95</v>
      </c>
      <c r="Z54">
        <v>6808.75</v>
      </c>
      <c r="AC54">
        <v>0</v>
      </c>
    </row>
    <row r="55" spans="1:29">
      <c r="A55" t="s">
        <v>130</v>
      </c>
      <c r="B55" t="s">
        <v>81</v>
      </c>
      <c r="C55" t="s">
        <v>179</v>
      </c>
      <c r="D55" t="s">
        <v>82</v>
      </c>
      <c r="E55" t="s">
        <v>132</v>
      </c>
      <c r="F55" t="s">
        <v>133</v>
      </c>
      <c r="G55">
        <v>65</v>
      </c>
      <c r="H55">
        <v>455</v>
      </c>
      <c r="I55" s="16">
        <v>0.55364583333333328</v>
      </c>
      <c r="J55">
        <v>1210083119</v>
      </c>
      <c r="K55" t="s">
        <v>134</v>
      </c>
      <c r="L55">
        <v>21.15</v>
      </c>
      <c r="M55">
        <v>0</v>
      </c>
      <c r="N55" s="16">
        <v>0.55364583333333328</v>
      </c>
      <c r="O55" t="s">
        <v>140</v>
      </c>
      <c r="P55">
        <v>1000000097140020</v>
      </c>
      <c r="Q55" t="s">
        <v>130</v>
      </c>
      <c r="S55" t="s">
        <v>136</v>
      </c>
      <c r="T55" t="s">
        <v>137</v>
      </c>
      <c r="U55" t="s">
        <v>130</v>
      </c>
      <c r="V55" t="s">
        <v>138</v>
      </c>
      <c r="W55">
        <v>260</v>
      </c>
      <c r="X55" t="s">
        <v>139</v>
      </c>
      <c r="Y55">
        <v>20.95</v>
      </c>
      <c r="Z55">
        <v>4085.25</v>
      </c>
      <c r="AC55">
        <v>0</v>
      </c>
    </row>
    <row r="56" spans="1:29">
      <c r="A56" t="s">
        <v>130</v>
      </c>
      <c r="B56" t="s">
        <v>81</v>
      </c>
      <c r="C56" t="s">
        <v>179</v>
      </c>
      <c r="D56" t="s">
        <v>82</v>
      </c>
      <c r="E56" t="s">
        <v>132</v>
      </c>
      <c r="F56" t="s">
        <v>133</v>
      </c>
      <c r="G56">
        <v>130</v>
      </c>
      <c r="H56">
        <v>455</v>
      </c>
      <c r="I56" s="16">
        <v>0.55364583333333328</v>
      </c>
      <c r="J56">
        <v>1210083119</v>
      </c>
      <c r="K56" t="s">
        <v>134</v>
      </c>
      <c r="L56">
        <v>21.15</v>
      </c>
      <c r="M56">
        <v>0</v>
      </c>
      <c r="N56" s="16">
        <v>0.55364583333333328</v>
      </c>
      <c r="O56" t="s">
        <v>140</v>
      </c>
      <c r="P56">
        <v>1000000097140020</v>
      </c>
      <c r="Q56" t="s">
        <v>130</v>
      </c>
      <c r="S56" t="s">
        <v>136</v>
      </c>
      <c r="T56" t="s">
        <v>137</v>
      </c>
      <c r="U56" t="s">
        <v>130</v>
      </c>
      <c r="V56" t="s">
        <v>138</v>
      </c>
      <c r="W56">
        <v>325</v>
      </c>
      <c r="X56" t="s">
        <v>139</v>
      </c>
      <c r="Y56">
        <v>20.95</v>
      </c>
      <c r="Z56">
        <v>2723.5</v>
      </c>
      <c r="AC56">
        <v>0</v>
      </c>
    </row>
    <row r="57" spans="1:29">
      <c r="A57" t="s">
        <v>130</v>
      </c>
      <c r="B57" t="s">
        <v>81</v>
      </c>
      <c r="C57" t="s">
        <v>178</v>
      </c>
      <c r="D57" t="s">
        <v>82</v>
      </c>
      <c r="E57" t="s">
        <v>132</v>
      </c>
      <c r="F57" t="s">
        <v>142</v>
      </c>
      <c r="G57">
        <v>260</v>
      </c>
      <c r="H57">
        <v>260</v>
      </c>
      <c r="I57" s="16">
        <v>0.5532407407407407</v>
      </c>
      <c r="J57">
        <v>1210083106</v>
      </c>
      <c r="K57" t="s">
        <v>134</v>
      </c>
      <c r="L57">
        <v>27.4</v>
      </c>
      <c r="M57">
        <v>0</v>
      </c>
      <c r="N57" s="16">
        <v>0.5532407407407407</v>
      </c>
      <c r="O57" t="s">
        <v>135</v>
      </c>
      <c r="P57">
        <v>1600000092692700</v>
      </c>
      <c r="Q57" t="s">
        <v>130</v>
      </c>
      <c r="S57" t="s">
        <v>136</v>
      </c>
      <c r="T57" t="s">
        <v>137</v>
      </c>
      <c r="U57" t="s">
        <v>130</v>
      </c>
      <c r="V57" t="s">
        <v>138</v>
      </c>
      <c r="W57">
        <v>0</v>
      </c>
      <c r="X57" t="s">
        <v>139</v>
      </c>
      <c r="Y57">
        <v>27.6</v>
      </c>
      <c r="Z57">
        <v>7176</v>
      </c>
      <c r="AC57">
        <v>0</v>
      </c>
    </row>
    <row r="58" spans="1:29">
      <c r="A58" t="s">
        <v>130</v>
      </c>
      <c r="B58" t="s">
        <v>81</v>
      </c>
      <c r="C58" t="s">
        <v>178</v>
      </c>
      <c r="D58" t="s">
        <v>82</v>
      </c>
      <c r="E58" t="s">
        <v>132</v>
      </c>
      <c r="F58" t="s">
        <v>142</v>
      </c>
      <c r="G58">
        <v>325</v>
      </c>
      <c r="H58">
        <v>325</v>
      </c>
      <c r="I58" s="16">
        <v>0.55317129629629624</v>
      </c>
      <c r="J58">
        <v>1210083100</v>
      </c>
      <c r="K58" t="s">
        <v>134</v>
      </c>
      <c r="L58">
        <v>27.4</v>
      </c>
      <c r="M58">
        <v>0</v>
      </c>
      <c r="N58" s="16">
        <v>0.55317129629629624</v>
      </c>
      <c r="O58" t="s">
        <v>135</v>
      </c>
      <c r="P58">
        <v>1600000092657260</v>
      </c>
      <c r="Q58" t="s">
        <v>130</v>
      </c>
      <c r="S58" t="s">
        <v>136</v>
      </c>
      <c r="T58" t="s">
        <v>137</v>
      </c>
      <c r="U58" t="s">
        <v>130</v>
      </c>
      <c r="V58" t="s">
        <v>138</v>
      </c>
      <c r="W58">
        <v>0</v>
      </c>
      <c r="X58" t="s">
        <v>139</v>
      </c>
      <c r="Y58">
        <v>27.4</v>
      </c>
      <c r="Z58">
        <v>8905</v>
      </c>
      <c r="AC58">
        <v>0</v>
      </c>
    </row>
    <row r="59" spans="1:29">
      <c r="A59" t="s">
        <v>130</v>
      </c>
      <c r="B59" t="s">
        <v>81</v>
      </c>
      <c r="C59" t="s">
        <v>180</v>
      </c>
      <c r="D59" t="s">
        <v>82</v>
      </c>
      <c r="E59" t="s">
        <v>132</v>
      </c>
      <c r="F59" t="s">
        <v>142</v>
      </c>
      <c r="G59">
        <v>65</v>
      </c>
      <c r="H59">
        <v>130</v>
      </c>
      <c r="I59" s="16">
        <v>0.54524305555555552</v>
      </c>
      <c r="J59">
        <v>1210053234</v>
      </c>
      <c r="K59" t="s">
        <v>134</v>
      </c>
      <c r="L59">
        <v>114.15</v>
      </c>
      <c r="M59">
        <v>0</v>
      </c>
      <c r="N59" s="16">
        <v>0.54524305555555552</v>
      </c>
      <c r="O59" t="s">
        <v>135</v>
      </c>
      <c r="P59">
        <v>1400000097862140</v>
      </c>
      <c r="Q59" t="s">
        <v>130</v>
      </c>
      <c r="S59" t="s">
        <v>136</v>
      </c>
      <c r="T59" t="s">
        <v>145</v>
      </c>
      <c r="U59" t="s">
        <v>130</v>
      </c>
      <c r="V59" t="s">
        <v>138</v>
      </c>
      <c r="W59">
        <v>0</v>
      </c>
      <c r="X59" t="s">
        <v>139</v>
      </c>
      <c r="Y59">
        <v>116.3</v>
      </c>
      <c r="Z59">
        <v>15119</v>
      </c>
      <c r="AC59">
        <v>0</v>
      </c>
    </row>
    <row r="60" spans="1:29">
      <c r="A60" t="s">
        <v>130</v>
      </c>
      <c r="B60" t="s">
        <v>81</v>
      </c>
      <c r="C60" t="s">
        <v>180</v>
      </c>
      <c r="D60" t="s">
        <v>82</v>
      </c>
      <c r="E60" t="s">
        <v>132</v>
      </c>
      <c r="F60" t="s">
        <v>142</v>
      </c>
      <c r="G60">
        <v>65</v>
      </c>
      <c r="H60">
        <v>130</v>
      </c>
      <c r="I60" s="16">
        <v>0.54524305555555552</v>
      </c>
      <c r="J60">
        <v>1210053234</v>
      </c>
      <c r="K60" t="s">
        <v>134</v>
      </c>
      <c r="L60">
        <v>114.15</v>
      </c>
      <c r="M60">
        <v>0</v>
      </c>
      <c r="N60" s="16">
        <v>0.54524305555555552</v>
      </c>
      <c r="O60" t="s">
        <v>140</v>
      </c>
      <c r="P60">
        <v>1400000097862140</v>
      </c>
      <c r="Q60" t="s">
        <v>130</v>
      </c>
      <c r="S60" t="s">
        <v>136</v>
      </c>
      <c r="T60" t="s">
        <v>145</v>
      </c>
      <c r="U60" t="s">
        <v>130</v>
      </c>
      <c r="V60" t="s">
        <v>138</v>
      </c>
      <c r="W60">
        <v>65</v>
      </c>
      <c r="X60" t="s">
        <v>139</v>
      </c>
      <c r="Y60">
        <v>116.3</v>
      </c>
      <c r="Z60">
        <v>7559.5</v>
      </c>
      <c r="AC60">
        <v>0</v>
      </c>
    </row>
    <row r="61" spans="1:29">
      <c r="A61" t="s">
        <v>130</v>
      </c>
      <c r="B61" t="s">
        <v>81</v>
      </c>
      <c r="C61" t="s">
        <v>181</v>
      </c>
      <c r="D61" t="s">
        <v>82</v>
      </c>
      <c r="E61" t="s">
        <v>132</v>
      </c>
      <c r="F61" t="s">
        <v>133</v>
      </c>
      <c r="G61">
        <v>130</v>
      </c>
      <c r="H61">
        <v>130</v>
      </c>
      <c r="I61" s="16">
        <v>0.54521990740740744</v>
      </c>
      <c r="J61">
        <v>1210053233</v>
      </c>
      <c r="K61" t="s">
        <v>134</v>
      </c>
      <c r="L61">
        <v>183.1</v>
      </c>
      <c r="M61">
        <v>0</v>
      </c>
      <c r="N61" s="16">
        <v>0.54521990740740744</v>
      </c>
      <c r="O61" t="s">
        <v>135</v>
      </c>
      <c r="P61">
        <v>1400000097844000</v>
      </c>
      <c r="Q61" t="s">
        <v>130</v>
      </c>
      <c r="S61" t="s">
        <v>136</v>
      </c>
      <c r="T61" t="s">
        <v>145</v>
      </c>
      <c r="U61" t="s">
        <v>130</v>
      </c>
      <c r="V61" t="s">
        <v>138</v>
      </c>
      <c r="W61">
        <v>0</v>
      </c>
      <c r="X61" t="s">
        <v>139</v>
      </c>
      <c r="Y61">
        <v>180.9</v>
      </c>
      <c r="Z61">
        <v>23517</v>
      </c>
      <c r="AC61">
        <v>0</v>
      </c>
    </row>
    <row r="62" spans="1:29">
      <c r="A62" t="s">
        <v>130</v>
      </c>
      <c r="B62" t="s">
        <v>81</v>
      </c>
      <c r="C62" t="s">
        <v>177</v>
      </c>
      <c r="D62" t="s">
        <v>82</v>
      </c>
      <c r="E62" t="s">
        <v>132</v>
      </c>
      <c r="F62" t="s">
        <v>133</v>
      </c>
      <c r="G62">
        <v>130</v>
      </c>
      <c r="H62">
        <v>390</v>
      </c>
      <c r="I62" s="16">
        <v>0.53962962962962968</v>
      </c>
      <c r="J62">
        <v>1210081260</v>
      </c>
      <c r="K62" t="s">
        <v>134</v>
      </c>
      <c r="L62">
        <v>20.149999999999999</v>
      </c>
      <c r="M62">
        <v>0</v>
      </c>
      <c r="N62" s="16">
        <v>0.53962962962962968</v>
      </c>
      <c r="O62" t="s">
        <v>135</v>
      </c>
      <c r="P62">
        <v>1200000093565290</v>
      </c>
      <c r="Q62" t="s">
        <v>130</v>
      </c>
      <c r="S62" t="s">
        <v>136</v>
      </c>
      <c r="T62" t="s">
        <v>137</v>
      </c>
      <c r="U62" t="s">
        <v>130</v>
      </c>
      <c r="V62" t="s">
        <v>138</v>
      </c>
      <c r="W62">
        <v>0</v>
      </c>
      <c r="X62" t="s">
        <v>139</v>
      </c>
      <c r="Y62">
        <v>20.100000000000001</v>
      </c>
      <c r="Z62">
        <v>7839</v>
      </c>
      <c r="AC62">
        <v>0</v>
      </c>
    </row>
    <row r="63" spans="1:29">
      <c r="A63" t="s">
        <v>130</v>
      </c>
      <c r="B63" t="s">
        <v>81</v>
      </c>
      <c r="C63" t="s">
        <v>177</v>
      </c>
      <c r="D63" t="s">
        <v>82</v>
      </c>
      <c r="E63" t="s">
        <v>132</v>
      </c>
      <c r="F63" t="s">
        <v>133</v>
      </c>
      <c r="G63">
        <v>195</v>
      </c>
      <c r="H63">
        <v>390</v>
      </c>
      <c r="I63" s="16">
        <v>0.53962962962962968</v>
      </c>
      <c r="J63">
        <v>1210081260</v>
      </c>
      <c r="K63" t="s">
        <v>134</v>
      </c>
      <c r="L63">
        <v>20.149999999999999</v>
      </c>
      <c r="M63">
        <v>0</v>
      </c>
      <c r="N63" s="16">
        <v>0.53962962962962968</v>
      </c>
      <c r="O63" t="s">
        <v>140</v>
      </c>
      <c r="P63">
        <v>1200000093565290</v>
      </c>
      <c r="Q63" t="s">
        <v>130</v>
      </c>
      <c r="S63" t="s">
        <v>136</v>
      </c>
      <c r="T63" t="s">
        <v>137</v>
      </c>
      <c r="U63" t="s">
        <v>130</v>
      </c>
      <c r="V63" t="s">
        <v>138</v>
      </c>
      <c r="W63">
        <v>130</v>
      </c>
      <c r="X63" t="s">
        <v>139</v>
      </c>
      <c r="Y63">
        <v>20.100000000000001</v>
      </c>
      <c r="Z63">
        <v>5226</v>
      </c>
      <c r="AC63">
        <v>0</v>
      </c>
    </row>
    <row r="64" spans="1:29">
      <c r="A64" t="s">
        <v>130</v>
      </c>
      <c r="B64" t="s">
        <v>81</v>
      </c>
      <c r="C64" t="s">
        <v>177</v>
      </c>
      <c r="D64" t="s">
        <v>82</v>
      </c>
      <c r="E64" t="s">
        <v>132</v>
      </c>
      <c r="F64" t="s">
        <v>133</v>
      </c>
      <c r="G64">
        <v>65</v>
      </c>
      <c r="H64">
        <v>390</v>
      </c>
      <c r="I64" s="16">
        <v>0.53962962962962968</v>
      </c>
      <c r="J64">
        <v>1210081260</v>
      </c>
      <c r="K64" t="s">
        <v>134</v>
      </c>
      <c r="L64">
        <v>20.149999999999999</v>
      </c>
      <c r="M64">
        <v>0</v>
      </c>
      <c r="N64" s="16">
        <v>0.53962962962962968</v>
      </c>
      <c r="O64" t="s">
        <v>140</v>
      </c>
      <c r="P64">
        <v>1200000093565290</v>
      </c>
      <c r="Q64" t="s">
        <v>130</v>
      </c>
      <c r="S64" t="s">
        <v>136</v>
      </c>
      <c r="T64" t="s">
        <v>137</v>
      </c>
      <c r="U64" t="s">
        <v>130</v>
      </c>
      <c r="V64" t="s">
        <v>138</v>
      </c>
      <c r="W64">
        <v>325</v>
      </c>
      <c r="X64" t="s">
        <v>139</v>
      </c>
      <c r="Y64">
        <v>20.100000000000001</v>
      </c>
      <c r="Z64">
        <v>1306.5</v>
      </c>
      <c r="AC64">
        <v>0</v>
      </c>
    </row>
    <row r="65" spans="1:29">
      <c r="A65" t="s">
        <v>130</v>
      </c>
      <c r="B65" t="s">
        <v>81</v>
      </c>
      <c r="C65" t="s">
        <v>182</v>
      </c>
      <c r="D65" t="s">
        <v>82</v>
      </c>
      <c r="E65" t="s">
        <v>132</v>
      </c>
      <c r="F65" t="s">
        <v>142</v>
      </c>
      <c r="G65">
        <v>195</v>
      </c>
      <c r="H65">
        <v>195</v>
      </c>
      <c r="I65" s="16">
        <v>0.539525462962963</v>
      </c>
      <c r="J65">
        <v>1210081253</v>
      </c>
      <c r="K65" t="s">
        <v>134</v>
      </c>
      <c r="L65">
        <v>13.35</v>
      </c>
      <c r="M65">
        <v>0</v>
      </c>
      <c r="N65" s="16">
        <v>0.539525462962963</v>
      </c>
      <c r="O65" t="s">
        <v>135</v>
      </c>
      <c r="P65">
        <v>1000000087868310</v>
      </c>
      <c r="Q65" t="s">
        <v>130</v>
      </c>
      <c r="S65" t="s">
        <v>136</v>
      </c>
      <c r="T65" t="s">
        <v>137</v>
      </c>
      <c r="U65" t="s">
        <v>130</v>
      </c>
      <c r="V65" t="s">
        <v>138</v>
      </c>
      <c r="W65">
        <v>0</v>
      </c>
      <c r="X65" t="s">
        <v>139</v>
      </c>
      <c r="Y65">
        <v>13.35</v>
      </c>
      <c r="Z65">
        <v>2603.25</v>
      </c>
      <c r="AC65">
        <v>0</v>
      </c>
    </row>
    <row r="66" spans="1:29">
      <c r="A66" t="s">
        <v>130</v>
      </c>
      <c r="B66" t="s">
        <v>81</v>
      </c>
      <c r="C66" t="s">
        <v>177</v>
      </c>
      <c r="D66" t="s">
        <v>82</v>
      </c>
      <c r="E66" t="s">
        <v>132</v>
      </c>
      <c r="F66" t="s">
        <v>133</v>
      </c>
      <c r="G66">
        <v>195</v>
      </c>
      <c r="H66">
        <v>455</v>
      </c>
      <c r="I66" s="16">
        <v>0.53942129629629632</v>
      </c>
      <c r="J66">
        <v>1210081246</v>
      </c>
      <c r="K66" t="s">
        <v>134</v>
      </c>
      <c r="L66">
        <v>20.100000000000001</v>
      </c>
      <c r="M66">
        <v>0</v>
      </c>
      <c r="N66" s="16">
        <v>0.53942129629629632</v>
      </c>
      <c r="O66" t="s">
        <v>135</v>
      </c>
      <c r="P66">
        <v>1200000093435140</v>
      </c>
      <c r="Q66" t="s">
        <v>130</v>
      </c>
      <c r="S66" t="s">
        <v>136</v>
      </c>
      <c r="T66" t="s">
        <v>137</v>
      </c>
      <c r="U66" t="s">
        <v>130</v>
      </c>
      <c r="V66" t="s">
        <v>138</v>
      </c>
      <c r="W66">
        <v>0</v>
      </c>
      <c r="X66" t="s">
        <v>139</v>
      </c>
      <c r="Y66">
        <v>19.899999999999999</v>
      </c>
      <c r="Z66">
        <v>9054.5</v>
      </c>
      <c r="AC66">
        <v>0</v>
      </c>
    </row>
    <row r="67" spans="1:29">
      <c r="A67" t="s">
        <v>130</v>
      </c>
      <c r="B67" t="s">
        <v>81</v>
      </c>
      <c r="C67" t="s">
        <v>177</v>
      </c>
      <c r="D67" t="s">
        <v>82</v>
      </c>
      <c r="E67" t="s">
        <v>132</v>
      </c>
      <c r="F67" t="s">
        <v>133</v>
      </c>
      <c r="G67">
        <v>65</v>
      </c>
      <c r="H67">
        <v>455</v>
      </c>
      <c r="I67" s="16">
        <v>0.53942129629629632</v>
      </c>
      <c r="J67">
        <v>1210081246</v>
      </c>
      <c r="K67" t="s">
        <v>134</v>
      </c>
      <c r="L67">
        <v>20.100000000000001</v>
      </c>
      <c r="M67">
        <v>0</v>
      </c>
      <c r="N67" s="16">
        <v>0.53942129629629632</v>
      </c>
      <c r="O67" t="s">
        <v>140</v>
      </c>
      <c r="P67">
        <v>1200000093435140</v>
      </c>
      <c r="Q67" t="s">
        <v>130</v>
      </c>
      <c r="S67" t="s">
        <v>136</v>
      </c>
      <c r="T67" t="s">
        <v>137</v>
      </c>
      <c r="U67" t="s">
        <v>130</v>
      </c>
      <c r="V67" t="s">
        <v>138</v>
      </c>
      <c r="W67">
        <v>195</v>
      </c>
      <c r="X67" t="s">
        <v>139</v>
      </c>
      <c r="Y67">
        <v>19.899999999999999</v>
      </c>
      <c r="Z67">
        <v>5174</v>
      </c>
      <c r="AC67">
        <v>0</v>
      </c>
    </row>
    <row r="68" spans="1:29">
      <c r="A68" t="s">
        <v>130</v>
      </c>
      <c r="B68" t="s">
        <v>81</v>
      </c>
      <c r="C68" t="s">
        <v>177</v>
      </c>
      <c r="D68" t="s">
        <v>82</v>
      </c>
      <c r="E68" t="s">
        <v>132</v>
      </c>
      <c r="F68" t="s">
        <v>133</v>
      </c>
      <c r="G68">
        <v>195</v>
      </c>
      <c r="H68">
        <v>455</v>
      </c>
      <c r="I68" s="16">
        <v>0.53942129629629632</v>
      </c>
      <c r="J68">
        <v>1210081246</v>
      </c>
      <c r="K68" t="s">
        <v>134</v>
      </c>
      <c r="L68">
        <v>20.100000000000001</v>
      </c>
      <c r="M68">
        <v>0</v>
      </c>
      <c r="N68" s="16">
        <v>0.53942129629629632</v>
      </c>
      <c r="O68" t="s">
        <v>140</v>
      </c>
      <c r="P68">
        <v>1200000093435140</v>
      </c>
      <c r="Q68" t="s">
        <v>130</v>
      </c>
      <c r="S68" t="s">
        <v>136</v>
      </c>
      <c r="T68" t="s">
        <v>137</v>
      </c>
      <c r="U68" t="s">
        <v>130</v>
      </c>
      <c r="V68" t="s">
        <v>138</v>
      </c>
      <c r="W68">
        <v>260</v>
      </c>
      <c r="X68" t="s">
        <v>139</v>
      </c>
      <c r="Y68">
        <v>19.899999999999999</v>
      </c>
      <c r="Z68">
        <v>3880.5</v>
      </c>
      <c r="AC68">
        <v>0</v>
      </c>
    </row>
    <row r="69" spans="1:29">
      <c r="A69" t="s">
        <v>130</v>
      </c>
      <c r="B69" t="s">
        <v>81</v>
      </c>
      <c r="C69" t="s">
        <v>182</v>
      </c>
      <c r="D69" t="s">
        <v>82</v>
      </c>
      <c r="E69" t="s">
        <v>132</v>
      </c>
      <c r="F69" t="s">
        <v>142</v>
      </c>
      <c r="G69">
        <v>195</v>
      </c>
      <c r="H69">
        <v>260</v>
      </c>
      <c r="I69" s="16">
        <v>0.53886574074074078</v>
      </c>
      <c r="J69">
        <v>1210081181</v>
      </c>
      <c r="K69" t="s">
        <v>134</v>
      </c>
      <c r="L69">
        <v>13.35</v>
      </c>
      <c r="M69">
        <v>0</v>
      </c>
      <c r="N69" s="16">
        <v>0.53886574074074078</v>
      </c>
      <c r="O69" t="s">
        <v>135</v>
      </c>
      <c r="P69">
        <v>1000000087430260</v>
      </c>
      <c r="Q69" t="s">
        <v>130</v>
      </c>
      <c r="S69" t="s">
        <v>136</v>
      </c>
      <c r="T69" t="s">
        <v>137</v>
      </c>
      <c r="U69" t="s">
        <v>130</v>
      </c>
      <c r="V69" t="s">
        <v>138</v>
      </c>
      <c r="W69">
        <v>0</v>
      </c>
      <c r="X69" t="s">
        <v>139</v>
      </c>
      <c r="Y69">
        <v>13.35</v>
      </c>
      <c r="Z69">
        <v>3471</v>
      </c>
      <c r="AC69">
        <v>0</v>
      </c>
    </row>
    <row r="70" spans="1:29">
      <c r="A70" t="s">
        <v>130</v>
      </c>
      <c r="B70" t="s">
        <v>81</v>
      </c>
      <c r="C70" t="s">
        <v>182</v>
      </c>
      <c r="D70" t="s">
        <v>82</v>
      </c>
      <c r="E70" t="s">
        <v>132</v>
      </c>
      <c r="F70" t="s">
        <v>142</v>
      </c>
      <c r="G70">
        <v>65</v>
      </c>
      <c r="H70">
        <v>260</v>
      </c>
      <c r="I70" s="16">
        <v>0.53886574074074078</v>
      </c>
      <c r="J70">
        <v>1210081181</v>
      </c>
      <c r="K70" t="s">
        <v>134</v>
      </c>
      <c r="L70">
        <v>13.35</v>
      </c>
      <c r="M70">
        <v>0</v>
      </c>
      <c r="N70" s="16">
        <v>0.53886574074074078</v>
      </c>
      <c r="O70" t="s">
        <v>140</v>
      </c>
      <c r="P70">
        <v>1000000087430260</v>
      </c>
      <c r="Q70" t="s">
        <v>130</v>
      </c>
      <c r="S70" t="s">
        <v>136</v>
      </c>
      <c r="T70" t="s">
        <v>137</v>
      </c>
      <c r="U70" t="s">
        <v>130</v>
      </c>
      <c r="V70" t="s">
        <v>138</v>
      </c>
      <c r="W70">
        <v>195</v>
      </c>
      <c r="X70" t="s">
        <v>139</v>
      </c>
      <c r="Y70">
        <v>13.35</v>
      </c>
      <c r="Z70">
        <v>867.75</v>
      </c>
      <c r="AC70">
        <v>0</v>
      </c>
    </row>
    <row r="71" spans="1:29">
      <c r="A71" t="s">
        <v>130</v>
      </c>
      <c r="B71" t="s">
        <v>81</v>
      </c>
      <c r="C71" t="s">
        <v>182</v>
      </c>
      <c r="D71" t="s">
        <v>82</v>
      </c>
      <c r="E71" t="s">
        <v>132</v>
      </c>
      <c r="F71" t="s">
        <v>142</v>
      </c>
      <c r="G71">
        <v>65</v>
      </c>
      <c r="H71">
        <v>195</v>
      </c>
      <c r="I71" s="16">
        <v>0.53883101851851856</v>
      </c>
      <c r="J71">
        <v>1210081175</v>
      </c>
      <c r="K71" t="s">
        <v>134</v>
      </c>
      <c r="L71">
        <v>13.35</v>
      </c>
      <c r="M71">
        <v>0</v>
      </c>
      <c r="N71" s="16">
        <v>0.53883101851851856</v>
      </c>
      <c r="O71" t="s">
        <v>135</v>
      </c>
      <c r="P71">
        <v>1000000087402250</v>
      </c>
      <c r="Q71" t="s">
        <v>130</v>
      </c>
      <c r="S71" t="s">
        <v>136</v>
      </c>
      <c r="T71" t="s">
        <v>137</v>
      </c>
      <c r="U71" t="s">
        <v>130</v>
      </c>
      <c r="V71" t="s">
        <v>138</v>
      </c>
      <c r="W71">
        <v>0</v>
      </c>
      <c r="X71" t="s">
        <v>139</v>
      </c>
      <c r="Y71">
        <v>13.35</v>
      </c>
      <c r="Z71">
        <v>2603.25</v>
      </c>
      <c r="AC71">
        <v>0</v>
      </c>
    </row>
    <row r="72" spans="1:29">
      <c r="A72" t="s">
        <v>130</v>
      </c>
      <c r="B72" t="s">
        <v>81</v>
      </c>
      <c r="C72" t="s">
        <v>182</v>
      </c>
      <c r="D72" t="s">
        <v>82</v>
      </c>
      <c r="E72" t="s">
        <v>132</v>
      </c>
      <c r="F72" t="s">
        <v>142</v>
      </c>
      <c r="G72">
        <v>130</v>
      </c>
      <c r="H72">
        <v>195</v>
      </c>
      <c r="I72" s="16">
        <v>0.53883101851851856</v>
      </c>
      <c r="J72">
        <v>1210081175</v>
      </c>
      <c r="K72" t="s">
        <v>134</v>
      </c>
      <c r="L72">
        <v>13.35</v>
      </c>
      <c r="M72">
        <v>0</v>
      </c>
      <c r="N72" s="16">
        <v>0.53883101851851856</v>
      </c>
      <c r="O72" t="s">
        <v>140</v>
      </c>
      <c r="P72">
        <v>1000000087402250</v>
      </c>
      <c r="Q72" t="s">
        <v>130</v>
      </c>
      <c r="S72" t="s">
        <v>136</v>
      </c>
      <c r="T72" t="s">
        <v>137</v>
      </c>
      <c r="U72" t="s">
        <v>130</v>
      </c>
      <c r="V72" t="s">
        <v>138</v>
      </c>
      <c r="W72">
        <v>65</v>
      </c>
      <c r="X72" t="s">
        <v>139</v>
      </c>
      <c r="Y72">
        <v>13.35</v>
      </c>
      <c r="Z72">
        <v>1735.5</v>
      </c>
      <c r="AC72">
        <v>0</v>
      </c>
    </row>
    <row r="73" spans="1:29">
      <c r="A73" t="s">
        <v>130</v>
      </c>
      <c r="B73" t="s">
        <v>81</v>
      </c>
      <c r="C73" t="s">
        <v>182</v>
      </c>
      <c r="D73" t="s">
        <v>82</v>
      </c>
      <c r="E73" t="s">
        <v>132</v>
      </c>
      <c r="F73" t="s">
        <v>142</v>
      </c>
      <c r="G73">
        <v>65</v>
      </c>
      <c r="H73">
        <v>195</v>
      </c>
      <c r="I73" s="16">
        <v>0.53878472222222218</v>
      </c>
      <c r="J73">
        <v>1210081172</v>
      </c>
      <c r="K73" t="s">
        <v>134</v>
      </c>
      <c r="L73">
        <v>13.3</v>
      </c>
      <c r="M73">
        <v>0</v>
      </c>
      <c r="N73" s="16">
        <v>0.53878472222222218</v>
      </c>
      <c r="O73" t="s">
        <v>135</v>
      </c>
      <c r="P73">
        <v>1000000087375710</v>
      </c>
      <c r="Q73" t="s">
        <v>130</v>
      </c>
      <c r="S73" t="s">
        <v>136</v>
      </c>
      <c r="T73" t="s">
        <v>137</v>
      </c>
      <c r="U73" t="s">
        <v>130</v>
      </c>
      <c r="V73" t="s">
        <v>138</v>
      </c>
      <c r="W73">
        <v>0</v>
      </c>
      <c r="X73" t="s">
        <v>139</v>
      </c>
      <c r="Y73">
        <v>13.35</v>
      </c>
      <c r="Z73">
        <v>2603.25</v>
      </c>
      <c r="AC73">
        <v>0</v>
      </c>
    </row>
    <row r="74" spans="1:29">
      <c r="A74" t="s">
        <v>130</v>
      </c>
      <c r="B74" t="s">
        <v>81</v>
      </c>
      <c r="C74" t="s">
        <v>182</v>
      </c>
      <c r="D74" t="s">
        <v>82</v>
      </c>
      <c r="E74" t="s">
        <v>132</v>
      </c>
      <c r="F74" t="s">
        <v>142</v>
      </c>
      <c r="G74">
        <v>130</v>
      </c>
      <c r="H74">
        <v>195</v>
      </c>
      <c r="I74" s="16">
        <v>0.53878472222222218</v>
      </c>
      <c r="J74">
        <v>1210081172</v>
      </c>
      <c r="K74" t="s">
        <v>134</v>
      </c>
      <c r="L74">
        <v>13.3</v>
      </c>
      <c r="M74">
        <v>0</v>
      </c>
      <c r="N74" s="16">
        <v>0.53878472222222218</v>
      </c>
      <c r="O74" t="s">
        <v>140</v>
      </c>
      <c r="P74">
        <v>1000000087375710</v>
      </c>
      <c r="Q74" t="s">
        <v>130</v>
      </c>
      <c r="S74" t="s">
        <v>136</v>
      </c>
      <c r="T74" t="s">
        <v>137</v>
      </c>
      <c r="U74" t="s">
        <v>130</v>
      </c>
      <c r="V74" t="s">
        <v>138</v>
      </c>
      <c r="W74">
        <v>65</v>
      </c>
      <c r="X74" t="s">
        <v>139</v>
      </c>
      <c r="Y74">
        <v>13.35</v>
      </c>
      <c r="Z74">
        <v>1735.5</v>
      </c>
      <c r="AC74">
        <v>0</v>
      </c>
    </row>
    <row r="75" spans="1:29">
      <c r="A75" t="s">
        <v>130</v>
      </c>
      <c r="B75" t="s">
        <v>81</v>
      </c>
      <c r="C75" t="s">
        <v>182</v>
      </c>
      <c r="D75" t="s">
        <v>82</v>
      </c>
      <c r="E75" t="s">
        <v>132</v>
      </c>
      <c r="F75" t="s">
        <v>142</v>
      </c>
      <c r="G75">
        <v>195</v>
      </c>
      <c r="H75">
        <v>455</v>
      </c>
      <c r="I75" s="16">
        <v>0.53567129629629628</v>
      </c>
      <c r="J75">
        <v>1210080955</v>
      </c>
      <c r="K75" t="s">
        <v>134</v>
      </c>
      <c r="L75">
        <v>13.25</v>
      </c>
      <c r="M75">
        <v>0</v>
      </c>
      <c r="N75" s="16">
        <v>0.53567129629629628</v>
      </c>
      <c r="O75" t="s">
        <v>135</v>
      </c>
      <c r="P75">
        <v>1000000084977210</v>
      </c>
      <c r="Q75" t="s">
        <v>130</v>
      </c>
      <c r="S75" t="s">
        <v>136</v>
      </c>
      <c r="T75" t="s">
        <v>137</v>
      </c>
      <c r="U75" t="s">
        <v>130</v>
      </c>
      <c r="V75" t="s">
        <v>138</v>
      </c>
      <c r="W75">
        <v>0</v>
      </c>
      <c r="X75" t="s">
        <v>139</v>
      </c>
      <c r="Y75">
        <v>13.25</v>
      </c>
      <c r="Z75">
        <v>6028.75</v>
      </c>
      <c r="AC75">
        <v>0</v>
      </c>
    </row>
    <row r="76" spans="1:29">
      <c r="A76" t="s">
        <v>130</v>
      </c>
      <c r="B76" t="s">
        <v>81</v>
      </c>
      <c r="C76" t="s">
        <v>182</v>
      </c>
      <c r="D76" t="s">
        <v>82</v>
      </c>
      <c r="E76" t="s">
        <v>132</v>
      </c>
      <c r="F76" t="s">
        <v>142</v>
      </c>
      <c r="G76">
        <v>130</v>
      </c>
      <c r="H76">
        <v>455</v>
      </c>
      <c r="I76" s="16">
        <v>0.53567129629629628</v>
      </c>
      <c r="J76">
        <v>1210080955</v>
      </c>
      <c r="K76" t="s">
        <v>134</v>
      </c>
      <c r="L76">
        <v>13.25</v>
      </c>
      <c r="M76">
        <v>0</v>
      </c>
      <c r="N76" s="16">
        <v>0.53567129629629628</v>
      </c>
      <c r="O76" t="s">
        <v>140</v>
      </c>
      <c r="P76">
        <v>1000000084977210</v>
      </c>
      <c r="Q76" t="s">
        <v>130</v>
      </c>
      <c r="S76" t="s">
        <v>136</v>
      </c>
      <c r="T76" t="s">
        <v>137</v>
      </c>
      <c r="U76" t="s">
        <v>130</v>
      </c>
      <c r="V76" t="s">
        <v>138</v>
      </c>
      <c r="W76">
        <v>195</v>
      </c>
      <c r="X76" t="s">
        <v>139</v>
      </c>
      <c r="Y76">
        <v>13.25</v>
      </c>
      <c r="Z76">
        <v>3445</v>
      </c>
      <c r="AC76">
        <v>0</v>
      </c>
    </row>
    <row r="77" spans="1:29">
      <c r="A77" t="s">
        <v>130</v>
      </c>
      <c r="B77" t="s">
        <v>81</v>
      </c>
      <c r="C77" t="s">
        <v>182</v>
      </c>
      <c r="D77" t="s">
        <v>82</v>
      </c>
      <c r="E77" t="s">
        <v>132</v>
      </c>
      <c r="F77" t="s">
        <v>142</v>
      </c>
      <c r="G77">
        <v>130</v>
      </c>
      <c r="H77">
        <v>455</v>
      </c>
      <c r="I77" s="16">
        <v>0.53567129629629628</v>
      </c>
      <c r="J77">
        <v>1210080955</v>
      </c>
      <c r="K77" t="s">
        <v>134</v>
      </c>
      <c r="L77">
        <v>13.25</v>
      </c>
      <c r="M77">
        <v>0</v>
      </c>
      <c r="N77" s="16">
        <v>0.53567129629629628</v>
      </c>
      <c r="O77" t="s">
        <v>140</v>
      </c>
      <c r="P77">
        <v>1000000084977210</v>
      </c>
      <c r="Q77" t="s">
        <v>130</v>
      </c>
      <c r="S77" t="s">
        <v>136</v>
      </c>
      <c r="T77" t="s">
        <v>137</v>
      </c>
      <c r="U77" t="s">
        <v>130</v>
      </c>
      <c r="V77" t="s">
        <v>138</v>
      </c>
      <c r="W77">
        <v>325</v>
      </c>
      <c r="X77" t="s">
        <v>139</v>
      </c>
      <c r="Y77">
        <v>13.25</v>
      </c>
      <c r="Z77">
        <v>1722.5</v>
      </c>
      <c r="AC77">
        <v>0</v>
      </c>
    </row>
    <row r="78" spans="1:29">
      <c r="A78" t="s">
        <v>130</v>
      </c>
      <c r="B78" t="s">
        <v>81</v>
      </c>
      <c r="C78" t="s">
        <v>178</v>
      </c>
      <c r="D78" t="s">
        <v>82</v>
      </c>
      <c r="E78" t="s">
        <v>132</v>
      </c>
      <c r="F78" t="s">
        <v>133</v>
      </c>
      <c r="G78">
        <v>325</v>
      </c>
      <c r="H78">
        <v>325</v>
      </c>
      <c r="I78" s="16">
        <v>0.5353472222222222</v>
      </c>
      <c r="J78">
        <v>1210080931</v>
      </c>
      <c r="K78" t="s">
        <v>134</v>
      </c>
      <c r="L78">
        <v>23.85</v>
      </c>
      <c r="M78">
        <v>0</v>
      </c>
      <c r="N78" s="16">
        <v>0.5353472222222222</v>
      </c>
      <c r="O78" t="s">
        <v>135</v>
      </c>
      <c r="P78">
        <v>1600000079996830</v>
      </c>
      <c r="Q78" t="s">
        <v>130</v>
      </c>
      <c r="S78" t="s">
        <v>136</v>
      </c>
      <c r="T78" t="s">
        <v>137</v>
      </c>
      <c r="U78" t="s">
        <v>130</v>
      </c>
      <c r="V78" t="s">
        <v>138</v>
      </c>
      <c r="W78">
        <v>0</v>
      </c>
      <c r="X78" t="s">
        <v>139</v>
      </c>
      <c r="Y78">
        <v>23.85</v>
      </c>
      <c r="Z78">
        <v>7751.25</v>
      </c>
      <c r="AC78">
        <v>0</v>
      </c>
    </row>
    <row r="79" spans="1:29">
      <c r="A79" t="s">
        <v>130</v>
      </c>
      <c r="B79" t="s">
        <v>81</v>
      </c>
      <c r="C79" t="s">
        <v>164</v>
      </c>
      <c r="D79" t="s">
        <v>82</v>
      </c>
      <c r="E79" t="s">
        <v>132</v>
      </c>
      <c r="F79" t="s">
        <v>142</v>
      </c>
      <c r="G79">
        <v>65</v>
      </c>
      <c r="H79">
        <v>65</v>
      </c>
      <c r="I79" s="16">
        <v>0.53268518518518515</v>
      </c>
      <c r="J79">
        <v>1210053194</v>
      </c>
      <c r="K79" t="s">
        <v>134</v>
      </c>
      <c r="L79">
        <v>100.95</v>
      </c>
      <c r="M79">
        <v>0</v>
      </c>
      <c r="N79" s="16">
        <v>0.53268518518518515</v>
      </c>
      <c r="O79" t="s">
        <v>135</v>
      </c>
      <c r="P79">
        <v>1300000096752740</v>
      </c>
      <c r="Q79" t="s">
        <v>130</v>
      </c>
      <c r="S79" t="s">
        <v>136</v>
      </c>
      <c r="T79" t="s">
        <v>145</v>
      </c>
      <c r="U79" t="s">
        <v>130</v>
      </c>
      <c r="V79" t="s">
        <v>138</v>
      </c>
      <c r="W79">
        <v>0</v>
      </c>
      <c r="X79" t="s">
        <v>139</v>
      </c>
      <c r="Y79">
        <v>103.6</v>
      </c>
      <c r="Z79">
        <v>6734</v>
      </c>
      <c r="AC79">
        <v>0</v>
      </c>
    </row>
    <row r="80" spans="1:29">
      <c r="A80" t="s">
        <v>130</v>
      </c>
      <c r="B80" t="s">
        <v>81</v>
      </c>
      <c r="C80" t="s">
        <v>183</v>
      </c>
      <c r="D80" t="s">
        <v>82</v>
      </c>
      <c r="E80" t="s">
        <v>132</v>
      </c>
      <c r="F80" t="s">
        <v>133</v>
      </c>
      <c r="G80">
        <v>65</v>
      </c>
      <c r="H80">
        <v>65</v>
      </c>
      <c r="I80" s="16">
        <v>0.53266203703703707</v>
      </c>
      <c r="J80">
        <v>1210053192</v>
      </c>
      <c r="K80" t="s">
        <v>134</v>
      </c>
      <c r="L80">
        <v>204.35</v>
      </c>
      <c r="M80">
        <v>0</v>
      </c>
      <c r="N80" s="16">
        <v>0.53267361111111111</v>
      </c>
      <c r="O80" t="s">
        <v>135</v>
      </c>
      <c r="P80">
        <v>1300000096696830</v>
      </c>
      <c r="Q80" t="s">
        <v>130</v>
      </c>
      <c r="S80" t="s">
        <v>136</v>
      </c>
      <c r="T80" t="s">
        <v>145</v>
      </c>
      <c r="U80" t="s">
        <v>130</v>
      </c>
      <c r="V80" t="s">
        <v>138</v>
      </c>
      <c r="W80">
        <v>0</v>
      </c>
      <c r="X80" t="s">
        <v>139</v>
      </c>
      <c r="Y80">
        <v>200</v>
      </c>
      <c r="Z80">
        <v>13000</v>
      </c>
      <c r="AC80">
        <v>0</v>
      </c>
    </row>
    <row r="81" spans="1:29">
      <c r="A81" t="s">
        <v>130</v>
      </c>
      <c r="B81" t="s">
        <v>81</v>
      </c>
      <c r="C81" t="s">
        <v>160</v>
      </c>
      <c r="D81" t="s">
        <v>82</v>
      </c>
      <c r="E81" t="s">
        <v>132</v>
      </c>
      <c r="F81" t="s">
        <v>133</v>
      </c>
      <c r="G81">
        <v>130</v>
      </c>
      <c r="H81">
        <v>130</v>
      </c>
      <c r="I81" s="16">
        <v>0.52538194444444442</v>
      </c>
      <c r="J81">
        <v>1210079185</v>
      </c>
      <c r="K81" t="s">
        <v>134</v>
      </c>
      <c r="L81">
        <v>169.2</v>
      </c>
      <c r="M81">
        <v>0</v>
      </c>
      <c r="N81" s="16">
        <v>0.52538194444444442</v>
      </c>
      <c r="O81" t="s">
        <v>135</v>
      </c>
      <c r="P81">
        <v>1500000076178050</v>
      </c>
      <c r="Q81" t="s">
        <v>130</v>
      </c>
      <c r="S81" t="s">
        <v>136</v>
      </c>
      <c r="T81" t="s">
        <v>137</v>
      </c>
      <c r="U81" t="s">
        <v>130</v>
      </c>
      <c r="V81" t="s">
        <v>138</v>
      </c>
      <c r="W81">
        <v>0</v>
      </c>
      <c r="X81" t="s">
        <v>139</v>
      </c>
      <c r="Y81">
        <v>169.2</v>
      </c>
      <c r="Z81">
        <v>21996</v>
      </c>
      <c r="AC81">
        <v>0</v>
      </c>
    </row>
    <row r="82" spans="1:29">
      <c r="A82" t="s">
        <v>130</v>
      </c>
      <c r="B82" t="s">
        <v>81</v>
      </c>
      <c r="C82" t="s">
        <v>181</v>
      </c>
      <c r="D82" t="s">
        <v>82</v>
      </c>
      <c r="E82" t="s">
        <v>132</v>
      </c>
      <c r="F82" t="s">
        <v>142</v>
      </c>
      <c r="G82">
        <v>130</v>
      </c>
      <c r="H82">
        <v>130</v>
      </c>
      <c r="I82" s="16">
        <v>0.5210069444444444</v>
      </c>
      <c r="J82">
        <v>1210053171</v>
      </c>
      <c r="K82" t="s">
        <v>134</v>
      </c>
      <c r="L82">
        <v>136.25</v>
      </c>
      <c r="M82">
        <v>0</v>
      </c>
      <c r="N82" s="16">
        <v>0.5210069444444444</v>
      </c>
      <c r="O82" t="s">
        <v>135</v>
      </c>
      <c r="P82">
        <v>1400000077901860</v>
      </c>
      <c r="Q82" t="s">
        <v>130</v>
      </c>
      <c r="S82" t="s">
        <v>136</v>
      </c>
      <c r="T82" t="s">
        <v>145</v>
      </c>
      <c r="U82" t="s">
        <v>130</v>
      </c>
      <c r="V82" t="s">
        <v>138</v>
      </c>
      <c r="W82">
        <v>0</v>
      </c>
      <c r="X82" t="s">
        <v>139</v>
      </c>
      <c r="Y82">
        <v>139</v>
      </c>
      <c r="Z82">
        <v>18070</v>
      </c>
      <c r="AC82">
        <v>0</v>
      </c>
    </row>
    <row r="83" spans="1:29">
      <c r="A83" t="s">
        <v>130</v>
      </c>
      <c r="B83" t="s">
        <v>81</v>
      </c>
      <c r="C83" t="s">
        <v>180</v>
      </c>
      <c r="D83" t="s">
        <v>82</v>
      </c>
      <c r="E83" t="s">
        <v>132</v>
      </c>
      <c r="F83" t="s">
        <v>133</v>
      </c>
      <c r="G83">
        <v>130</v>
      </c>
      <c r="H83">
        <v>130</v>
      </c>
      <c r="I83" s="16">
        <v>0.5210069444444444</v>
      </c>
      <c r="J83">
        <v>1210053170</v>
      </c>
      <c r="K83" t="s">
        <v>134</v>
      </c>
      <c r="L83">
        <v>150.15</v>
      </c>
      <c r="M83">
        <v>0</v>
      </c>
      <c r="N83" s="16">
        <v>0.5210069444444444</v>
      </c>
      <c r="O83" t="s">
        <v>135</v>
      </c>
      <c r="P83">
        <v>1400000077901550</v>
      </c>
      <c r="Q83" t="s">
        <v>130</v>
      </c>
      <c r="S83" t="s">
        <v>136</v>
      </c>
      <c r="T83" t="s">
        <v>145</v>
      </c>
      <c r="U83" t="s">
        <v>130</v>
      </c>
      <c r="V83" t="s">
        <v>138</v>
      </c>
      <c r="W83">
        <v>0</v>
      </c>
      <c r="X83" t="s">
        <v>139</v>
      </c>
      <c r="Y83">
        <v>147.35</v>
      </c>
      <c r="Z83">
        <v>19155.5</v>
      </c>
      <c r="AC83">
        <v>0</v>
      </c>
    </row>
    <row r="84" spans="1:29">
      <c r="A84" t="s">
        <v>130</v>
      </c>
      <c r="B84" t="s">
        <v>81</v>
      </c>
      <c r="C84" t="s">
        <v>183</v>
      </c>
      <c r="D84" t="s">
        <v>82</v>
      </c>
      <c r="E84" t="s">
        <v>132</v>
      </c>
      <c r="F84" t="s">
        <v>142</v>
      </c>
      <c r="G84">
        <v>130</v>
      </c>
      <c r="H84">
        <v>130</v>
      </c>
      <c r="I84" s="16">
        <v>0.52098379629629632</v>
      </c>
      <c r="J84">
        <v>1210053169</v>
      </c>
      <c r="K84" t="s">
        <v>134</v>
      </c>
      <c r="L84">
        <v>162.69999999999999</v>
      </c>
      <c r="M84">
        <v>0</v>
      </c>
      <c r="N84" s="16">
        <v>0.52098379629629632</v>
      </c>
      <c r="O84" t="s">
        <v>135</v>
      </c>
      <c r="P84">
        <v>1300000088093930</v>
      </c>
      <c r="Q84" t="s">
        <v>130</v>
      </c>
      <c r="S84" t="s">
        <v>136</v>
      </c>
      <c r="T84" t="s">
        <v>145</v>
      </c>
      <c r="U84" t="s">
        <v>130</v>
      </c>
      <c r="V84" t="s">
        <v>138</v>
      </c>
      <c r="W84">
        <v>0</v>
      </c>
      <c r="X84" t="s">
        <v>139</v>
      </c>
      <c r="Y84">
        <v>166</v>
      </c>
      <c r="Z84">
        <v>21580</v>
      </c>
      <c r="AC84">
        <v>0</v>
      </c>
    </row>
    <row r="85" spans="1:29">
      <c r="A85" t="s">
        <v>130</v>
      </c>
      <c r="B85" t="s">
        <v>81</v>
      </c>
      <c r="C85" t="s">
        <v>164</v>
      </c>
      <c r="D85" t="s">
        <v>82</v>
      </c>
      <c r="E85" t="s">
        <v>132</v>
      </c>
      <c r="F85" t="s">
        <v>133</v>
      </c>
      <c r="G85">
        <v>130</v>
      </c>
      <c r="H85">
        <v>130</v>
      </c>
      <c r="I85" s="16">
        <v>0.52096064814814813</v>
      </c>
      <c r="J85">
        <v>1210053168</v>
      </c>
      <c r="K85" t="s">
        <v>134</v>
      </c>
      <c r="L85">
        <v>126.6</v>
      </c>
      <c r="M85">
        <v>0</v>
      </c>
      <c r="N85" s="16">
        <v>0.52096064814814813</v>
      </c>
      <c r="O85" t="s">
        <v>135</v>
      </c>
      <c r="P85">
        <v>1300000088083750</v>
      </c>
      <c r="Q85" t="s">
        <v>130</v>
      </c>
      <c r="S85" t="s">
        <v>136</v>
      </c>
      <c r="T85" t="s">
        <v>145</v>
      </c>
      <c r="U85" t="s">
        <v>130</v>
      </c>
      <c r="V85" t="s">
        <v>138</v>
      </c>
      <c r="W85">
        <v>0</v>
      </c>
      <c r="X85" t="s">
        <v>139</v>
      </c>
      <c r="Y85">
        <v>124.1</v>
      </c>
      <c r="Z85">
        <v>16133</v>
      </c>
      <c r="AC85">
        <v>0</v>
      </c>
    </row>
    <row r="86" spans="1:29">
      <c r="A86" t="s">
        <v>130</v>
      </c>
      <c r="B86" t="s">
        <v>81</v>
      </c>
      <c r="C86" t="s">
        <v>181</v>
      </c>
      <c r="D86" t="s">
        <v>82</v>
      </c>
      <c r="E86" t="s">
        <v>132</v>
      </c>
      <c r="F86" t="s">
        <v>142</v>
      </c>
      <c r="G86">
        <v>65</v>
      </c>
      <c r="H86">
        <v>65</v>
      </c>
      <c r="I86" s="16">
        <v>0.48130787037037037</v>
      </c>
      <c r="J86">
        <v>1210053109</v>
      </c>
      <c r="K86" t="s">
        <v>134</v>
      </c>
      <c r="L86">
        <v>124.65</v>
      </c>
      <c r="M86">
        <v>0</v>
      </c>
      <c r="N86" s="16">
        <v>0.48130787037037037</v>
      </c>
      <c r="O86" t="s">
        <v>135</v>
      </c>
      <c r="P86">
        <v>1400000059929470</v>
      </c>
      <c r="Q86" t="s">
        <v>130</v>
      </c>
      <c r="S86" t="s">
        <v>136</v>
      </c>
      <c r="T86" t="s">
        <v>145</v>
      </c>
      <c r="U86" t="s">
        <v>130</v>
      </c>
      <c r="V86" t="s">
        <v>138</v>
      </c>
      <c r="W86">
        <v>0</v>
      </c>
      <c r="X86" t="s">
        <v>139</v>
      </c>
      <c r="Y86">
        <v>127.25</v>
      </c>
      <c r="Z86">
        <v>8271.25</v>
      </c>
      <c r="AC86">
        <v>0</v>
      </c>
    </row>
    <row r="87" spans="1:29">
      <c r="A87" t="s">
        <v>130</v>
      </c>
      <c r="B87" t="s">
        <v>81</v>
      </c>
      <c r="C87" t="s">
        <v>183</v>
      </c>
      <c r="D87" t="s">
        <v>82</v>
      </c>
      <c r="E87" t="s">
        <v>132</v>
      </c>
      <c r="F87" t="s">
        <v>142</v>
      </c>
      <c r="G87">
        <v>65</v>
      </c>
      <c r="H87">
        <v>65</v>
      </c>
      <c r="I87" s="16">
        <v>0.48129629629629628</v>
      </c>
      <c r="J87">
        <v>1210053108</v>
      </c>
      <c r="K87" t="s">
        <v>134</v>
      </c>
      <c r="L87">
        <v>148.85</v>
      </c>
      <c r="M87">
        <v>0</v>
      </c>
      <c r="N87" s="16">
        <v>0.48129629629629628</v>
      </c>
      <c r="O87" t="s">
        <v>135</v>
      </c>
      <c r="P87">
        <v>1300000066895520</v>
      </c>
      <c r="Q87" t="s">
        <v>130</v>
      </c>
      <c r="S87" t="s">
        <v>136</v>
      </c>
      <c r="T87" t="s">
        <v>145</v>
      </c>
      <c r="U87" t="s">
        <v>130</v>
      </c>
      <c r="V87" t="s">
        <v>138</v>
      </c>
      <c r="W87">
        <v>0</v>
      </c>
      <c r="X87" t="s">
        <v>139</v>
      </c>
      <c r="Y87">
        <v>152.19999999999999</v>
      </c>
      <c r="Z87">
        <v>9893</v>
      </c>
      <c r="AC87">
        <v>0</v>
      </c>
    </row>
    <row r="88" spans="1:29">
      <c r="A88" t="s">
        <v>130</v>
      </c>
      <c r="B88" t="s">
        <v>81</v>
      </c>
      <c r="C88" t="s">
        <v>164</v>
      </c>
      <c r="D88" t="s">
        <v>82</v>
      </c>
      <c r="E88" t="s">
        <v>132</v>
      </c>
      <c r="F88" t="s">
        <v>133</v>
      </c>
      <c r="G88">
        <v>65</v>
      </c>
      <c r="H88">
        <v>65</v>
      </c>
      <c r="I88" s="16">
        <v>0.48129629629629628</v>
      </c>
      <c r="J88">
        <v>1210053107</v>
      </c>
      <c r="K88" t="s">
        <v>134</v>
      </c>
      <c r="L88">
        <v>148.35</v>
      </c>
      <c r="M88">
        <v>0</v>
      </c>
      <c r="N88" s="16">
        <v>0.48129629629629628</v>
      </c>
      <c r="O88" t="s">
        <v>135</v>
      </c>
      <c r="P88">
        <v>1300000066895380</v>
      </c>
      <c r="Q88" t="s">
        <v>130</v>
      </c>
      <c r="S88" t="s">
        <v>136</v>
      </c>
      <c r="T88" t="s">
        <v>145</v>
      </c>
      <c r="U88" t="s">
        <v>130</v>
      </c>
      <c r="V88" t="s">
        <v>138</v>
      </c>
      <c r="W88">
        <v>0</v>
      </c>
      <c r="X88" t="s">
        <v>139</v>
      </c>
      <c r="Y88">
        <v>145.55000000000001</v>
      </c>
      <c r="Z88">
        <v>9460.75</v>
      </c>
      <c r="AC88">
        <v>0</v>
      </c>
    </row>
    <row r="89" spans="1:29">
      <c r="A89" t="s">
        <v>130</v>
      </c>
      <c r="B89" t="s">
        <v>81</v>
      </c>
      <c r="C89" t="s">
        <v>180</v>
      </c>
      <c r="D89" t="s">
        <v>82</v>
      </c>
      <c r="E89" t="s">
        <v>132</v>
      </c>
      <c r="F89" t="s">
        <v>133</v>
      </c>
      <c r="G89">
        <v>65</v>
      </c>
      <c r="H89">
        <v>65</v>
      </c>
      <c r="I89" s="16">
        <v>0.48128472222222224</v>
      </c>
      <c r="J89">
        <v>1210053106</v>
      </c>
      <c r="K89" t="s">
        <v>134</v>
      </c>
      <c r="L89">
        <v>174.7</v>
      </c>
      <c r="M89">
        <v>0</v>
      </c>
      <c r="N89" s="16">
        <v>0.48128472222222224</v>
      </c>
      <c r="O89" t="s">
        <v>135</v>
      </c>
      <c r="P89">
        <v>1400000059921060</v>
      </c>
      <c r="Q89" t="s">
        <v>130</v>
      </c>
      <c r="S89" t="s">
        <v>136</v>
      </c>
      <c r="T89" t="s">
        <v>145</v>
      </c>
      <c r="U89" t="s">
        <v>130</v>
      </c>
      <c r="V89" t="s">
        <v>138</v>
      </c>
      <c r="W89">
        <v>0</v>
      </c>
      <c r="X89" t="s">
        <v>139</v>
      </c>
      <c r="Y89">
        <v>171</v>
      </c>
      <c r="Z89">
        <v>11115</v>
      </c>
      <c r="AC89">
        <v>0</v>
      </c>
    </row>
    <row r="90" spans="1:29">
      <c r="A90" t="s">
        <v>130</v>
      </c>
      <c r="B90" t="s">
        <v>81</v>
      </c>
      <c r="C90" t="s">
        <v>182</v>
      </c>
      <c r="D90" t="s">
        <v>82</v>
      </c>
      <c r="E90" t="s">
        <v>132</v>
      </c>
      <c r="F90" t="s">
        <v>133</v>
      </c>
      <c r="G90">
        <v>260</v>
      </c>
      <c r="H90">
        <v>260</v>
      </c>
      <c r="I90" s="16">
        <v>0.46900462962962963</v>
      </c>
      <c r="J90">
        <v>1210074513</v>
      </c>
      <c r="K90" t="s">
        <v>134</v>
      </c>
      <c r="L90">
        <v>22.65</v>
      </c>
      <c r="M90">
        <v>0</v>
      </c>
      <c r="N90" s="16">
        <v>0.46900462962962963</v>
      </c>
      <c r="O90" t="s">
        <v>135</v>
      </c>
      <c r="P90">
        <v>1000000051417350</v>
      </c>
      <c r="Q90" t="s">
        <v>130</v>
      </c>
      <c r="S90" t="s">
        <v>136</v>
      </c>
      <c r="T90" t="s">
        <v>137</v>
      </c>
      <c r="U90" t="s">
        <v>130</v>
      </c>
      <c r="V90" t="s">
        <v>138</v>
      </c>
      <c r="W90">
        <v>0</v>
      </c>
      <c r="X90" t="s">
        <v>139</v>
      </c>
      <c r="Y90">
        <v>22.65</v>
      </c>
      <c r="Z90">
        <v>5889</v>
      </c>
      <c r="AC90">
        <v>0</v>
      </c>
    </row>
    <row r="91" spans="1:29">
      <c r="A91" t="s">
        <v>130</v>
      </c>
      <c r="B91" t="s">
        <v>81</v>
      </c>
      <c r="C91" t="s">
        <v>184</v>
      </c>
      <c r="D91" t="s">
        <v>82</v>
      </c>
      <c r="E91" t="s">
        <v>132</v>
      </c>
      <c r="F91" t="s">
        <v>142</v>
      </c>
      <c r="G91">
        <v>65</v>
      </c>
      <c r="H91">
        <v>195</v>
      </c>
      <c r="I91" s="16">
        <v>0.46890046296296295</v>
      </c>
      <c r="J91">
        <v>1210074508</v>
      </c>
      <c r="K91" t="s">
        <v>134</v>
      </c>
      <c r="L91">
        <v>27.75</v>
      </c>
      <c r="M91">
        <v>0</v>
      </c>
      <c r="N91" s="16">
        <v>0.46890046296296295</v>
      </c>
      <c r="O91" t="s">
        <v>135</v>
      </c>
      <c r="P91">
        <v>1100000049452670</v>
      </c>
      <c r="Q91" t="s">
        <v>130</v>
      </c>
      <c r="S91" t="s">
        <v>136</v>
      </c>
      <c r="T91" t="s">
        <v>137</v>
      </c>
      <c r="U91" t="s">
        <v>130</v>
      </c>
      <c r="V91" t="s">
        <v>138</v>
      </c>
      <c r="W91">
        <v>0</v>
      </c>
      <c r="X91" t="s">
        <v>139</v>
      </c>
      <c r="Y91">
        <v>27.8</v>
      </c>
      <c r="Z91">
        <v>5421</v>
      </c>
      <c r="AC91">
        <v>0</v>
      </c>
    </row>
    <row r="92" spans="1:29">
      <c r="A92" t="s">
        <v>130</v>
      </c>
      <c r="B92" t="s">
        <v>81</v>
      </c>
      <c r="C92" t="s">
        <v>184</v>
      </c>
      <c r="D92" t="s">
        <v>82</v>
      </c>
      <c r="E92" t="s">
        <v>132</v>
      </c>
      <c r="F92" t="s">
        <v>142</v>
      </c>
      <c r="G92">
        <v>65</v>
      </c>
      <c r="H92">
        <v>195</v>
      </c>
      <c r="I92" s="16">
        <v>0.46890046296296295</v>
      </c>
      <c r="J92">
        <v>1210074508</v>
      </c>
      <c r="K92" t="s">
        <v>134</v>
      </c>
      <c r="L92">
        <v>27.75</v>
      </c>
      <c r="M92">
        <v>0</v>
      </c>
      <c r="N92" s="16">
        <v>0.46890046296296295</v>
      </c>
      <c r="O92" t="s">
        <v>140</v>
      </c>
      <c r="P92">
        <v>1100000049452670</v>
      </c>
      <c r="Q92" t="s">
        <v>130</v>
      </c>
      <c r="S92" t="s">
        <v>136</v>
      </c>
      <c r="T92" t="s">
        <v>137</v>
      </c>
      <c r="U92" t="s">
        <v>130</v>
      </c>
      <c r="V92" t="s">
        <v>138</v>
      </c>
      <c r="W92">
        <v>65</v>
      </c>
      <c r="X92" t="s">
        <v>139</v>
      </c>
      <c r="Y92">
        <v>27.8</v>
      </c>
      <c r="Z92">
        <v>3614</v>
      </c>
      <c r="AC92">
        <v>0</v>
      </c>
    </row>
    <row r="93" spans="1:29">
      <c r="A93" t="s">
        <v>130</v>
      </c>
      <c r="B93" t="s">
        <v>81</v>
      </c>
      <c r="C93" t="s">
        <v>184</v>
      </c>
      <c r="D93" t="s">
        <v>82</v>
      </c>
      <c r="E93" t="s">
        <v>132</v>
      </c>
      <c r="F93" t="s">
        <v>142</v>
      </c>
      <c r="G93">
        <v>65</v>
      </c>
      <c r="H93">
        <v>195</v>
      </c>
      <c r="I93" s="16">
        <v>0.46890046296296295</v>
      </c>
      <c r="J93">
        <v>1210074508</v>
      </c>
      <c r="K93" t="s">
        <v>134</v>
      </c>
      <c r="L93">
        <v>27.75</v>
      </c>
      <c r="M93">
        <v>0</v>
      </c>
      <c r="N93" s="16">
        <v>0.46890046296296295</v>
      </c>
      <c r="O93" t="s">
        <v>140</v>
      </c>
      <c r="P93">
        <v>1100000049452670</v>
      </c>
      <c r="Q93" t="s">
        <v>130</v>
      </c>
      <c r="S93" t="s">
        <v>136</v>
      </c>
      <c r="T93" t="s">
        <v>137</v>
      </c>
      <c r="U93" t="s">
        <v>130</v>
      </c>
      <c r="V93" t="s">
        <v>138</v>
      </c>
      <c r="W93">
        <v>130</v>
      </c>
      <c r="X93" t="s">
        <v>139</v>
      </c>
      <c r="Y93">
        <v>27.8</v>
      </c>
      <c r="Z93">
        <v>1807</v>
      </c>
      <c r="AC93">
        <v>0</v>
      </c>
    </row>
    <row r="94" spans="1:29">
      <c r="A94" t="s">
        <v>130</v>
      </c>
      <c r="B94" t="s">
        <v>81</v>
      </c>
      <c r="C94" t="s">
        <v>184</v>
      </c>
      <c r="D94" t="s">
        <v>82</v>
      </c>
      <c r="E94" t="s">
        <v>132</v>
      </c>
      <c r="F94" t="s">
        <v>142</v>
      </c>
      <c r="G94">
        <v>130</v>
      </c>
      <c r="H94">
        <v>260</v>
      </c>
      <c r="I94" s="16">
        <v>0.46884259259259259</v>
      </c>
      <c r="J94">
        <v>1210074502</v>
      </c>
      <c r="K94" t="s">
        <v>134</v>
      </c>
      <c r="L94">
        <v>27.7</v>
      </c>
      <c r="M94">
        <v>0</v>
      </c>
      <c r="N94" s="16">
        <v>0.46884259259259259</v>
      </c>
      <c r="O94" t="s">
        <v>135</v>
      </c>
      <c r="P94">
        <v>1100000049433850</v>
      </c>
      <c r="Q94" t="s">
        <v>130</v>
      </c>
      <c r="S94" t="s">
        <v>136</v>
      </c>
      <c r="T94" t="s">
        <v>137</v>
      </c>
      <c r="U94" t="s">
        <v>130</v>
      </c>
      <c r="V94" t="s">
        <v>138</v>
      </c>
      <c r="W94">
        <v>0</v>
      </c>
      <c r="X94" t="s">
        <v>139</v>
      </c>
      <c r="Y94">
        <v>27.8</v>
      </c>
      <c r="Z94">
        <v>7228</v>
      </c>
      <c r="AC94">
        <v>0</v>
      </c>
    </row>
    <row r="95" spans="1:29">
      <c r="A95" t="s">
        <v>130</v>
      </c>
      <c r="B95" t="s">
        <v>81</v>
      </c>
      <c r="C95" t="s">
        <v>184</v>
      </c>
      <c r="D95" t="s">
        <v>82</v>
      </c>
      <c r="E95" t="s">
        <v>132</v>
      </c>
      <c r="F95" t="s">
        <v>142</v>
      </c>
      <c r="G95">
        <v>130</v>
      </c>
      <c r="H95">
        <v>260</v>
      </c>
      <c r="I95" s="16">
        <v>0.46884259259259259</v>
      </c>
      <c r="J95">
        <v>1210074502</v>
      </c>
      <c r="K95" t="s">
        <v>134</v>
      </c>
      <c r="L95">
        <v>27.7</v>
      </c>
      <c r="M95">
        <v>0</v>
      </c>
      <c r="N95" s="16">
        <v>0.46884259259259259</v>
      </c>
      <c r="O95" t="s">
        <v>140</v>
      </c>
      <c r="P95">
        <v>1100000049433850</v>
      </c>
      <c r="Q95" t="s">
        <v>130</v>
      </c>
      <c r="S95" t="s">
        <v>136</v>
      </c>
      <c r="T95" t="s">
        <v>137</v>
      </c>
      <c r="U95" t="s">
        <v>130</v>
      </c>
      <c r="V95" t="s">
        <v>138</v>
      </c>
      <c r="W95">
        <v>130</v>
      </c>
      <c r="X95" t="s">
        <v>139</v>
      </c>
      <c r="Y95">
        <v>27.8</v>
      </c>
      <c r="Z95">
        <v>3614</v>
      </c>
      <c r="AC95">
        <v>0</v>
      </c>
    </row>
    <row r="96" spans="1:29">
      <c r="A96" t="s">
        <v>130</v>
      </c>
      <c r="B96" t="s">
        <v>81</v>
      </c>
      <c r="C96" t="s">
        <v>182</v>
      </c>
      <c r="D96" t="s">
        <v>82</v>
      </c>
      <c r="E96" t="s">
        <v>132</v>
      </c>
      <c r="F96" t="s">
        <v>133</v>
      </c>
      <c r="G96">
        <v>715</v>
      </c>
      <c r="H96">
        <v>715</v>
      </c>
      <c r="I96" s="16">
        <v>0.46873842592592591</v>
      </c>
      <c r="J96">
        <v>1210074484</v>
      </c>
      <c r="K96" t="s">
        <v>134</v>
      </c>
      <c r="L96">
        <v>22.7</v>
      </c>
      <c r="M96">
        <v>0</v>
      </c>
      <c r="N96" s="16">
        <v>0.46873842592592591</v>
      </c>
      <c r="O96" t="s">
        <v>135</v>
      </c>
      <c r="P96">
        <v>1000000051219880</v>
      </c>
      <c r="Q96" t="s">
        <v>130</v>
      </c>
      <c r="S96" t="s">
        <v>136</v>
      </c>
      <c r="T96" t="s">
        <v>137</v>
      </c>
      <c r="U96" t="s">
        <v>130</v>
      </c>
      <c r="V96" t="s">
        <v>138</v>
      </c>
      <c r="W96">
        <v>0</v>
      </c>
      <c r="X96" t="s">
        <v>139</v>
      </c>
      <c r="Y96">
        <v>22.7</v>
      </c>
      <c r="Z96">
        <v>16230.5</v>
      </c>
      <c r="AC96">
        <v>0</v>
      </c>
    </row>
    <row r="97" spans="1:29">
      <c r="A97" t="s">
        <v>130</v>
      </c>
      <c r="B97" t="s">
        <v>81</v>
      </c>
      <c r="C97" t="s">
        <v>184</v>
      </c>
      <c r="D97" t="s">
        <v>82</v>
      </c>
      <c r="E97" t="s">
        <v>132</v>
      </c>
      <c r="F97" t="s">
        <v>142</v>
      </c>
      <c r="G97">
        <v>65</v>
      </c>
      <c r="H97">
        <v>130</v>
      </c>
      <c r="I97" s="16">
        <v>0.46797453703703706</v>
      </c>
      <c r="J97">
        <v>1210074458</v>
      </c>
      <c r="K97" t="s">
        <v>134</v>
      </c>
      <c r="L97">
        <v>27.75</v>
      </c>
      <c r="M97">
        <v>0</v>
      </c>
      <c r="N97" s="16">
        <v>0.46797453703703706</v>
      </c>
      <c r="O97" t="s">
        <v>135</v>
      </c>
      <c r="P97">
        <v>1100000049104450</v>
      </c>
      <c r="Q97" t="s">
        <v>130</v>
      </c>
      <c r="S97" t="s">
        <v>136</v>
      </c>
      <c r="T97" t="s">
        <v>137</v>
      </c>
      <c r="U97" t="s">
        <v>130</v>
      </c>
      <c r="V97" t="s">
        <v>138</v>
      </c>
      <c r="W97">
        <v>0</v>
      </c>
      <c r="X97" t="s">
        <v>139</v>
      </c>
      <c r="Y97">
        <v>27.75</v>
      </c>
      <c r="Z97">
        <v>3607.5</v>
      </c>
      <c r="AC97">
        <v>0</v>
      </c>
    </row>
    <row r="98" spans="1:29">
      <c r="A98" t="s">
        <v>130</v>
      </c>
      <c r="B98" t="s">
        <v>81</v>
      </c>
      <c r="C98" t="s">
        <v>184</v>
      </c>
      <c r="D98" t="s">
        <v>82</v>
      </c>
      <c r="E98" t="s">
        <v>132</v>
      </c>
      <c r="F98" t="s">
        <v>142</v>
      </c>
      <c r="G98">
        <v>65</v>
      </c>
      <c r="H98">
        <v>130</v>
      </c>
      <c r="I98" s="16">
        <v>0.46797453703703706</v>
      </c>
      <c r="J98">
        <v>1210074458</v>
      </c>
      <c r="K98" t="s">
        <v>134</v>
      </c>
      <c r="L98">
        <v>27.75</v>
      </c>
      <c r="M98">
        <v>0</v>
      </c>
      <c r="N98" s="16">
        <v>0.46797453703703706</v>
      </c>
      <c r="O98" t="s">
        <v>140</v>
      </c>
      <c r="P98">
        <v>1100000049104450</v>
      </c>
      <c r="Q98" t="s">
        <v>130</v>
      </c>
      <c r="S98" t="s">
        <v>136</v>
      </c>
      <c r="T98" t="s">
        <v>137</v>
      </c>
      <c r="U98" t="s">
        <v>130</v>
      </c>
      <c r="V98" t="s">
        <v>138</v>
      </c>
      <c r="W98">
        <v>65</v>
      </c>
      <c r="X98" t="s">
        <v>139</v>
      </c>
      <c r="Y98">
        <v>27.75</v>
      </c>
      <c r="Z98">
        <v>1803.75</v>
      </c>
      <c r="AC98">
        <v>0</v>
      </c>
    </row>
    <row r="99" spans="1:29">
      <c r="A99" t="s">
        <v>130</v>
      </c>
      <c r="B99" t="s">
        <v>81</v>
      </c>
      <c r="C99" t="s">
        <v>184</v>
      </c>
      <c r="D99" t="s">
        <v>82</v>
      </c>
      <c r="E99" t="s">
        <v>132</v>
      </c>
      <c r="F99" t="s">
        <v>142</v>
      </c>
      <c r="G99">
        <v>65</v>
      </c>
      <c r="H99">
        <v>130</v>
      </c>
      <c r="I99" s="16">
        <v>0.46781250000000002</v>
      </c>
      <c r="J99">
        <v>1210074454</v>
      </c>
      <c r="K99" t="s">
        <v>134</v>
      </c>
      <c r="L99">
        <v>27.8</v>
      </c>
      <c r="M99">
        <v>0</v>
      </c>
      <c r="N99" s="16">
        <v>0.46781250000000002</v>
      </c>
      <c r="O99" t="s">
        <v>135</v>
      </c>
      <c r="P99">
        <v>1100000049032010</v>
      </c>
      <c r="Q99" t="s">
        <v>130</v>
      </c>
      <c r="S99" t="s">
        <v>136</v>
      </c>
      <c r="T99" t="s">
        <v>137</v>
      </c>
      <c r="U99" t="s">
        <v>130</v>
      </c>
      <c r="V99" t="s">
        <v>138</v>
      </c>
      <c r="W99">
        <v>0</v>
      </c>
      <c r="X99" t="s">
        <v>139</v>
      </c>
      <c r="Y99">
        <v>27.85</v>
      </c>
      <c r="Z99">
        <v>3620.5</v>
      </c>
      <c r="AC99">
        <v>0</v>
      </c>
    </row>
    <row r="100" spans="1:29">
      <c r="A100" t="s">
        <v>130</v>
      </c>
      <c r="B100" t="s">
        <v>81</v>
      </c>
      <c r="C100" t="s">
        <v>184</v>
      </c>
      <c r="D100" t="s">
        <v>82</v>
      </c>
      <c r="E100" t="s">
        <v>132</v>
      </c>
      <c r="F100" t="s">
        <v>142</v>
      </c>
      <c r="G100">
        <v>65</v>
      </c>
      <c r="H100">
        <v>130</v>
      </c>
      <c r="I100" s="16">
        <v>0.46781250000000002</v>
      </c>
      <c r="J100">
        <v>1210074454</v>
      </c>
      <c r="K100" t="s">
        <v>134</v>
      </c>
      <c r="L100">
        <v>27.8</v>
      </c>
      <c r="M100">
        <v>0</v>
      </c>
      <c r="N100" s="16">
        <v>0.46781250000000002</v>
      </c>
      <c r="O100" t="s">
        <v>140</v>
      </c>
      <c r="P100">
        <v>1100000049032010</v>
      </c>
      <c r="Q100" t="s">
        <v>130</v>
      </c>
      <c r="S100" t="s">
        <v>136</v>
      </c>
      <c r="T100" t="s">
        <v>137</v>
      </c>
      <c r="U100" t="s">
        <v>130</v>
      </c>
      <c r="V100" t="s">
        <v>138</v>
      </c>
      <c r="W100">
        <v>65</v>
      </c>
      <c r="X100" t="s">
        <v>139</v>
      </c>
      <c r="Y100">
        <v>27.85</v>
      </c>
      <c r="Z100">
        <v>1810.25</v>
      </c>
      <c r="AC100">
        <v>0</v>
      </c>
    </row>
    <row r="101" spans="1:29">
      <c r="A101" t="s">
        <v>130</v>
      </c>
      <c r="B101" t="s">
        <v>81</v>
      </c>
      <c r="C101" t="s">
        <v>184</v>
      </c>
      <c r="D101" t="s">
        <v>82</v>
      </c>
      <c r="E101" t="s">
        <v>132</v>
      </c>
      <c r="F101" t="s">
        <v>142</v>
      </c>
      <c r="G101">
        <v>65</v>
      </c>
      <c r="H101">
        <v>130</v>
      </c>
      <c r="I101" s="16">
        <v>0.4677662037037037</v>
      </c>
      <c r="J101">
        <v>1210074452</v>
      </c>
      <c r="K101" t="s">
        <v>134</v>
      </c>
      <c r="L101">
        <v>27.65</v>
      </c>
      <c r="M101">
        <v>0</v>
      </c>
      <c r="N101" s="16">
        <v>0.4677662037037037</v>
      </c>
      <c r="O101" t="s">
        <v>135</v>
      </c>
      <c r="P101">
        <v>1100000049012030</v>
      </c>
      <c r="Q101" t="s">
        <v>130</v>
      </c>
      <c r="S101" t="s">
        <v>136</v>
      </c>
      <c r="T101" t="s">
        <v>137</v>
      </c>
      <c r="U101" t="s">
        <v>130</v>
      </c>
      <c r="V101" t="s">
        <v>138</v>
      </c>
      <c r="W101">
        <v>0</v>
      </c>
      <c r="X101" t="s">
        <v>139</v>
      </c>
      <c r="Y101">
        <v>27.7</v>
      </c>
      <c r="Z101">
        <v>3601</v>
      </c>
      <c r="AC101">
        <v>0</v>
      </c>
    </row>
    <row r="102" spans="1:29">
      <c r="A102" t="s">
        <v>130</v>
      </c>
      <c r="B102" t="s">
        <v>81</v>
      </c>
      <c r="C102" t="s">
        <v>184</v>
      </c>
      <c r="D102" t="s">
        <v>82</v>
      </c>
      <c r="E102" t="s">
        <v>132</v>
      </c>
      <c r="F102" t="s">
        <v>142</v>
      </c>
      <c r="G102">
        <v>65</v>
      </c>
      <c r="H102">
        <v>130</v>
      </c>
      <c r="I102" s="16">
        <v>0.4677662037037037</v>
      </c>
      <c r="J102">
        <v>1210074452</v>
      </c>
      <c r="K102" t="s">
        <v>134</v>
      </c>
      <c r="L102">
        <v>27.65</v>
      </c>
      <c r="M102">
        <v>0</v>
      </c>
      <c r="N102" s="16">
        <v>0.4677662037037037</v>
      </c>
      <c r="O102" t="s">
        <v>140</v>
      </c>
      <c r="P102">
        <v>1100000049012030</v>
      </c>
      <c r="Q102" t="s">
        <v>130</v>
      </c>
      <c r="S102" t="s">
        <v>136</v>
      </c>
      <c r="T102" t="s">
        <v>137</v>
      </c>
      <c r="U102" t="s">
        <v>130</v>
      </c>
      <c r="V102" t="s">
        <v>138</v>
      </c>
      <c r="W102">
        <v>65</v>
      </c>
      <c r="X102" t="s">
        <v>139</v>
      </c>
      <c r="Y102">
        <v>27.7</v>
      </c>
      <c r="Z102">
        <v>1800.5</v>
      </c>
      <c r="AC102">
        <v>0</v>
      </c>
    </row>
    <row r="103" spans="1:29">
      <c r="A103" t="s">
        <v>130</v>
      </c>
      <c r="B103" t="s">
        <v>81</v>
      </c>
      <c r="C103" t="s">
        <v>184</v>
      </c>
      <c r="D103" t="s">
        <v>82</v>
      </c>
      <c r="E103" t="s">
        <v>132</v>
      </c>
      <c r="F103" t="s">
        <v>142</v>
      </c>
      <c r="G103">
        <v>65</v>
      </c>
      <c r="H103">
        <v>130</v>
      </c>
      <c r="I103" s="16">
        <v>0.46770833333333334</v>
      </c>
      <c r="J103">
        <v>1210074449</v>
      </c>
      <c r="K103" t="s">
        <v>134</v>
      </c>
      <c r="L103">
        <v>27.45</v>
      </c>
      <c r="M103">
        <v>0</v>
      </c>
      <c r="N103" s="16">
        <v>0.46771990740740743</v>
      </c>
      <c r="O103" t="s">
        <v>135</v>
      </c>
      <c r="P103">
        <v>1100000048985780</v>
      </c>
      <c r="Q103" t="s">
        <v>130</v>
      </c>
      <c r="S103" t="s">
        <v>136</v>
      </c>
      <c r="T103" t="s">
        <v>137</v>
      </c>
      <c r="U103" t="s">
        <v>130</v>
      </c>
      <c r="V103" t="s">
        <v>138</v>
      </c>
      <c r="W103">
        <v>0</v>
      </c>
      <c r="X103" t="s">
        <v>139</v>
      </c>
      <c r="Y103">
        <v>27.6</v>
      </c>
      <c r="Z103">
        <v>3588</v>
      </c>
      <c r="AC103">
        <v>0</v>
      </c>
    </row>
    <row r="104" spans="1:29">
      <c r="A104" t="s">
        <v>130</v>
      </c>
      <c r="B104" t="s">
        <v>81</v>
      </c>
      <c r="C104" t="s">
        <v>184</v>
      </c>
      <c r="D104" t="s">
        <v>82</v>
      </c>
      <c r="E104" t="s">
        <v>132</v>
      </c>
      <c r="F104" t="s">
        <v>142</v>
      </c>
      <c r="G104">
        <v>65</v>
      </c>
      <c r="H104">
        <v>130</v>
      </c>
      <c r="I104" s="16">
        <v>0.46770833333333334</v>
      </c>
      <c r="J104">
        <v>1210074449</v>
      </c>
      <c r="K104" t="s">
        <v>134</v>
      </c>
      <c r="L104">
        <v>27.45</v>
      </c>
      <c r="M104">
        <v>0</v>
      </c>
      <c r="N104" s="16">
        <v>0.46771990740740743</v>
      </c>
      <c r="O104" t="s">
        <v>140</v>
      </c>
      <c r="P104">
        <v>1100000048985780</v>
      </c>
      <c r="Q104" t="s">
        <v>130</v>
      </c>
      <c r="S104" t="s">
        <v>136</v>
      </c>
      <c r="T104" t="s">
        <v>137</v>
      </c>
      <c r="U104" t="s">
        <v>130</v>
      </c>
      <c r="V104" t="s">
        <v>138</v>
      </c>
      <c r="W104">
        <v>65</v>
      </c>
      <c r="X104" t="s">
        <v>139</v>
      </c>
      <c r="Y104">
        <v>27.6</v>
      </c>
      <c r="Z104">
        <v>1794</v>
      </c>
      <c r="AC104">
        <v>0</v>
      </c>
    </row>
    <row r="105" spans="1:29">
      <c r="A105" t="s">
        <v>130</v>
      </c>
      <c r="B105" t="s">
        <v>81</v>
      </c>
      <c r="C105" t="s">
        <v>178</v>
      </c>
      <c r="D105" t="s">
        <v>82</v>
      </c>
      <c r="E105" t="s">
        <v>132</v>
      </c>
      <c r="F105" t="s">
        <v>142</v>
      </c>
      <c r="G105">
        <v>130</v>
      </c>
      <c r="H105">
        <v>325</v>
      </c>
      <c r="I105" s="16">
        <v>0.43783564814814813</v>
      </c>
      <c r="J105">
        <v>1210072087</v>
      </c>
      <c r="K105" t="s">
        <v>134</v>
      </c>
      <c r="L105">
        <v>16.25</v>
      </c>
      <c r="M105">
        <v>0</v>
      </c>
      <c r="N105" s="16">
        <v>0.43783564814814813</v>
      </c>
      <c r="O105" t="s">
        <v>135</v>
      </c>
      <c r="P105">
        <v>1600000033548570</v>
      </c>
      <c r="Q105" t="s">
        <v>130</v>
      </c>
      <c r="S105" t="s">
        <v>136</v>
      </c>
      <c r="T105" t="s">
        <v>137</v>
      </c>
      <c r="U105" t="s">
        <v>130</v>
      </c>
      <c r="V105" t="s">
        <v>138</v>
      </c>
      <c r="W105">
        <v>0</v>
      </c>
      <c r="X105" t="s">
        <v>139</v>
      </c>
      <c r="Y105">
        <v>16.3</v>
      </c>
      <c r="Z105">
        <v>5297.5</v>
      </c>
      <c r="AC105">
        <v>0</v>
      </c>
    </row>
    <row r="106" spans="1:29">
      <c r="A106" t="s">
        <v>130</v>
      </c>
      <c r="B106" t="s">
        <v>81</v>
      </c>
      <c r="C106" t="s">
        <v>178</v>
      </c>
      <c r="D106" t="s">
        <v>82</v>
      </c>
      <c r="E106" t="s">
        <v>132</v>
      </c>
      <c r="F106" t="s">
        <v>142</v>
      </c>
      <c r="G106">
        <v>195</v>
      </c>
      <c r="H106">
        <v>325</v>
      </c>
      <c r="I106" s="16">
        <v>0.43783564814814813</v>
      </c>
      <c r="J106">
        <v>1210072087</v>
      </c>
      <c r="K106" t="s">
        <v>134</v>
      </c>
      <c r="L106">
        <v>16.25</v>
      </c>
      <c r="M106">
        <v>0</v>
      </c>
      <c r="N106" s="16">
        <v>0.43783564814814813</v>
      </c>
      <c r="O106" t="s">
        <v>140</v>
      </c>
      <c r="P106">
        <v>1600000033548570</v>
      </c>
      <c r="Q106" t="s">
        <v>130</v>
      </c>
      <c r="S106" t="s">
        <v>136</v>
      </c>
      <c r="T106" t="s">
        <v>137</v>
      </c>
      <c r="U106" t="s">
        <v>130</v>
      </c>
      <c r="V106" t="s">
        <v>138</v>
      </c>
      <c r="W106">
        <v>130</v>
      </c>
      <c r="X106" t="s">
        <v>139</v>
      </c>
      <c r="Y106">
        <v>16.3</v>
      </c>
      <c r="Z106">
        <v>3178.5</v>
      </c>
      <c r="AC106">
        <v>0</v>
      </c>
    </row>
    <row r="107" spans="1:29">
      <c r="A107" t="s">
        <v>130</v>
      </c>
      <c r="B107" t="s">
        <v>81</v>
      </c>
      <c r="C107" t="s">
        <v>182</v>
      </c>
      <c r="D107" t="s">
        <v>82</v>
      </c>
      <c r="E107" t="s">
        <v>132</v>
      </c>
      <c r="F107" t="s">
        <v>133</v>
      </c>
      <c r="G107">
        <v>325</v>
      </c>
      <c r="H107">
        <v>325</v>
      </c>
      <c r="I107" s="16">
        <v>0.43748842592592591</v>
      </c>
      <c r="J107">
        <v>1210072057</v>
      </c>
      <c r="K107" t="s">
        <v>134</v>
      </c>
      <c r="L107">
        <v>19.8</v>
      </c>
      <c r="M107">
        <v>0</v>
      </c>
      <c r="N107" s="16">
        <v>0.43748842592592591</v>
      </c>
      <c r="O107" t="s">
        <v>135</v>
      </c>
      <c r="P107">
        <v>1000000034721230</v>
      </c>
      <c r="Q107" t="s">
        <v>130</v>
      </c>
      <c r="S107" t="s">
        <v>136</v>
      </c>
      <c r="T107" t="s">
        <v>137</v>
      </c>
      <c r="U107" t="s">
        <v>130</v>
      </c>
      <c r="V107" t="s">
        <v>138</v>
      </c>
      <c r="W107">
        <v>0</v>
      </c>
      <c r="X107" t="s">
        <v>139</v>
      </c>
      <c r="Y107">
        <v>19.8</v>
      </c>
      <c r="Z107">
        <v>6435</v>
      </c>
      <c r="AC107">
        <v>0</v>
      </c>
    </row>
    <row r="108" spans="1:29">
      <c r="A108" t="s">
        <v>130</v>
      </c>
      <c r="B108" t="s">
        <v>81</v>
      </c>
      <c r="C108" t="s">
        <v>180</v>
      </c>
      <c r="D108" t="s">
        <v>82</v>
      </c>
      <c r="E108" t="s">
        <v>132</v>
      </c>
      <c r="F108" t="s">
        <v>142</v>
      </c>
      <c r="G108">
        <v>130</v>
      </c>
      <c r="H108">
        <v>130</v>
      </c>
      <c r="I108" s="16">
        <v>0.43407407407407406</v>
      </c>
      <c r="J108">
        <v>1210053021</v>
      </c>
      <c r="K108" t="s">
        <v>134</v>
      </c>
      <c r="L108">
        <v>170.2</v>
      </c>
      <c r="M108">
        <v>0</v>
      </c>
      <c r="N108" s="16">
        <v>0.43407407407407406</v>
      </c>
      <c r="O108" t="s">
        <v>135</v>
      </c>
      <c r="P108">
        <v>1400000035795380</v>
      </c>
      <c r="Q108" t="s">
        <v>130</v>
      </c>
      <c r="S108" t="s">
        <v>136</v>
      </c>
      <c r="T108" t="s">
        <v>145</v>
      </c>
      <c r="U108" t="s">
        <v>130</v>
      </c>
      <c r="V108" t="s">
        <v>138</v>
      </c>
      <c r="W108">
        <v>0</v>
      </c>
      <c r="X108" t="s">
        <v>139</v>
      </c>
      <c r="Y108">
        <v>173.5</v>
      </c>
      <c r="Z108">
        <v>22555</v>
      </c>
      <c r="AC108">
        <v>0</v>
      </c>
    </row>
    <row r="109" spans="1:29">
      <c r="A109" t="s">
        <v>130</v>
      </c>
      <c r="B109" t="s">
        <v>81</v>
      </c>
      <c r="C109" t="s">
        <v>164</v>
      </c>
      <c r="D109" t="s">
        <v>82</v>
      </c>
      <c r="E109" t="s">
        <v>132</v>
      </c>
      <c r="F109" t="s">
        <v>142</v>
      </c>
      <c r="G109">
        <v>130</v>
      </c>
      <c r="H109">
        <v>130</v>
      </c>
      <c r="I109" s="16">
        <v>0.43406250000000002</v>
      </c>
      <c r="J109">
        <v>1210053020</v>
      </c>
      <c r="K109" t="s">
        <v>134</v>
      </c>
      <c r="L109">
        <v>145.6</v>
      </c>
      <c r="M109">
        <v>0</v>
      </c>
      <c r="N109" s="16">
        <v>0.43406250000000002</v>
      </c>
      <c r="O109" t="s">
        <v>135</v>
      </c>
      <c r="P109">
        <v>1300000039199780</v>
      </c>
      <c r="Q109" t="s">
        <v>130</v>
      </c>
      <c r="S109" t="s">
        <v>136</v>
      </c>
      <c r="T109" t="s">
        <v>145</v>
      </c>
      <c r="U109" t="s">
        <v>130</v>
      </c>
      <c r="V109" t="s">
        <v>138</v>
      </c>
      <c r="W109">
        <v>0</v>
      </c>
      <c r="X109" t="s">
        <v>139</v>
      </c>
      <c r="Y109">
        <v>148.25</v>
      </c>
      <c r="Z109">
        <v>19272.5</v>
      </c>
      <c r="AC109">
        <v>0</v>
      </c>
    </row>
    <row r="110" spans="1:29">
      <c r="A110" t="s">
        <v>130</v>
      </c>
      <c r="B110" t="s">
        <v>81</v>
      </c>
      <c r="C110" t="s">
        <v>183</v>
      </c>
      <c r="D110" t="s">
        <v>82</v>
      </c>
      <c r="E110" t="s">
        <v>132</v>
      </c>
      <c r="F110" t="s">
        <v>133</v>
      </c>
      <c r="G110">
        <v>65</v>
      </c>
      <c r="H110">
        <v>130</v>
      </c>
      <c r="I110" s="16">
        <v>0.43406250000000002</v>
      </c>
      <c r="J110">
        <v>1210053017</v>
      </c>
      <c r="K110" t="s">
        <v>134</v>
      </c>
      <c r="L110">
        <v>150.30000000000001</v>
      </c>
      <c r="M110">
        <v>0</v>
      </c>
      <c r="N110" s="16">
        <v>0.43406250000000002</v>
      </c>
      <c r="O110" t="s">
        <v>135</v>
      </c>
      <c r="P110">
        <v>1300000039197620</v>
      </c>
      <c r="Q110" t="s">
        <v>130</v>
      </c>
      <c r="S110" t="s">
        <v>136</v>
      </c>
      <c r="T110" t="s">
        <v>145</v>
      </c>
      <c r="U110" t="s">
        <v>130</v>
      </c>
      <c r="V110" t="s">
        <v>138</v>
      </c>
      <c r="W110">
        <v>0</v>
      </c>
      <c r="X110" t="s">
        <v>139</v>
      </c>
      <c r="Y110">
        <v>148.05000000000001</v>
      </c>
      <c r="Z110">
        <v>19246.5</v>
      </c>
      <c r="AC110">
        <v>0</v>
      </c>
    </row>
    <row r="111" spans="1:29">
      <c r="A111" t="s">
        <v>130</v>
      </c>
      <c r="B111" t="s">
        <v>81</v>
      </c>
      <c r="C111" t="s">
        <v>183</v>
      </c>
      <c r="D111" t="s">
        <v>82</v>
      </c>
      <c r="E111" t="s">
        <v>132</v>
      </c>
      <c r="F111" t="s">
        <v>133</v>
      </c>
      <c r="G111">
        <v>65</v>
      </c>
      <c r="H111">
        <v>130</v>
      </c>
      <c r="I111" s="16">
        <v>0.43406250000000002</v>
      </c>
      <c r="J111">
        <v>1210053017</v>
      </c>
      <c r="K111" t="s">
        <v>134</v>
      </c>
      <c r="L111">
        <v>150.30000000000001</v>
      </c>
      <c r="M111">
        <v>0</v>
      </c>
      <c r="N111" s="16">
        <v>0.43406250000000002</v>
      </c>
      <c r="O111" t="s">
        <v>140</v>
      </c>
      <c r="P111">
        <v>1300000039197620</v>
      </c>
      <c r="Q111" t="s">
        <v>130</v>
      </c>
      <c r="S111" t="s">
        <v>136</v>
      </c>
      <c r="T111" t="s">
        <v>145</v>
      </c>
      <c r="U111" t="s">
        <v>130</v>
      </c>
      <c r="V111" t="s">
        <v>138</v>
      </c>
      <c r="W111">
        <v>65</v>
      </c>
      <c r="X111" t="s">
        <v>139</v>
      </c>
      <c r="Y111">
        <v>148.05000000000001</v>
      </c>
      <c r="Z111">
        <v>9623.25</v>
      </c>
      <c r="AC111">
        <v>0</v>
      </c>
    </row>
    <row r="112" spans="1:29">
      <c r="A112" t="s">
        <v>130</v>
      </c>
      <c r="B112" t="s">
        <v>81</v>
      </c>
      <c r="C112" t="s">
        <v>181</v>
      </c>
      <c r="D112" t="s">
        <v>82</v>
      </c>
      <c r="E112" t="s">
        <v>132</v>
      </c>
      <c r="F112" t="s">
        <v>133</v>
      </c>
      <c r="G112">
        <v>65</v>
      </c>
      <c r="H112">
        <v>130</v>
      </c>
      <c r="I112" s="16">
        <v>0.43405092592592592</v>
      </c>
      <c r="J112">
        <v>1210053013</v>
      </c>
      <c r="K112" t="s">
        <v>134</v>
      </c>
      <c r="L112">
        <v>126</v>
      </c>
      <c r="M112">
        <v>0</v>
      </c>
      <c r="N112" s="16">
        <v>0.43405092592592592</v>
      </c>
      <c r="O112" t="s">
        <v>135</v>
      </c>
      <c r="P112">
        <v>1400000035773440</v>
      </c>
      <c r="Q112" t="s">
        <v>130</v>
      </c>
      <c r="S112" t="s">
        <v>136</v>
      </c>
      <c r="T112" t="s">
        <v>145</v>
      </c>
      <c r="U112" t="s">
        <v>130</v>
      </c>
      <c r="V112" t="s">
        <v>138</v>
      </c>
      <c r="W112">
        <v>0</v>
      </c>
      <c r="X112" t="s">
        <v>139</v>
      </c>
      <c r="Y112">
        <v>123.95</v>
      </c>
      <c r="Z112">
        <v>16113.5</v>
      </c>
      <c r="AC112">
        <v>0</v>
      </c>
    </row>
    <row r="113" spans="1:29">
      <c r="A113" t="s">
        <v>130</v>
      </c>
      <c r="B113" t="s">
        <v>81</v>
      </c>
      <c r="C113" t="s">
        <v>181</v>
      </c>
      <c r="D113" t="s">
        <v>82</v>
      </c>
      <c r="E113" t="s">
        <v>132</v>
      </c>
      <c r="F113" t="s">
        <v>133</v>
      </c>
      <c r="G113">
        <v>65</v>
      </c>
      <c r="H113">
        <v>130</v>
      </c>
      <c r="I113" s="16">
        <v>0.43405092592592592</v>
      </c>
      <c r="J113">
        <v>1210053013</v>
      </c>
      <c r="K113" t="s">
        <v>134</v>
      </c>
      <c r="L113">
        <v>126</v>
      </c>
      <c r="M113">
        <v>0</v>
      </c>
      <c r="N113" s="16">
        <v>0.43405092592592592</v>
      </c>
      <c r="O113" t="s">
        <v>140</v>
      </c>
      <c r="P113">
        <v>1400000035773440</v>
      </c>
      <c r="Q113" t="s">
        <v>130</v>
      </c>
      <c r="S113" t="s">
        <v>136</v>
      </c>
      <c r="T113" t="s">
        <v>145</v>
      </c>
      <c r="U113" t="s">
        <v>130</v>
      </c>
      <c r="V113" t="s">
        <v>138</v>
      </c>
      <c r="W113">
        <v>65</v>
      </c>
      <c r="X113" t="s">
        <v>139</v>
      </c>
      <c r="Y113">
        <v>123.95</v>
      </c>
      <c r="Z113">
        <v>8056.75</v>
      </c>
      <c r="AC113">
        <v>0</v>
      </c>
    </row>
    <row r="114" spans="1:29">
      <c r="A114" t="s">
        <v>130</v>
      </c>
      <c r="B114" t="s">
        <v>81</v>
      </c>
      <c r="C114" t="s">
        <v>181</v>
      </c>
      <c r="D114" t="s">
        <v>82</v>
      </c>
      <c r="E114" t="s">
        <v>132</v>
      </c>
      <c r="F114" t="s">
        <v>133</v>
      </c>
      <c r="G114">
        <v>65</v>
      </c>
      <c r="H114">
        <v>65</v>
      </c>
      <c r="I114" s="16">
        <v>0.41740740740740739</v>
      </c>
      <c r="J114">
        <v>1210052991</v>
      </c>
      <c r="K114" t="s">
        <v>134</v>
      </c>
      <c r="L114">
        <v>138.6</v>
      </c>
      <c r="M114">
        <v>0</v>
      </c>
      <c r="N114" s="16">
        <v>0.41740740740740739</v>
      </c>
      <c r="O114" t="s">
        <v>135</v>
      </c>
      <c r="P114">
        <v>1400000025118460</v>
      </c>
      <c r="Q114" t="s">
        <v>130</v>
      </c>
      <c r="S114" t="s">
        <v>136</v>
      </c>
      <c r="T114" t="s">
        <v>145</v>
      </c>
      <c r="U114" t="s">
        <v>130</v>
      </c>
      <c r="V114" t="s">
        <v>138</v>
      </c>
      <c r="W114">
        <v>0</v>
      </c>
      <c r="X114" t="s">
        <v>139</v>
      </c>
      <c r="Y114">
        <v>136.15</v>
      </c>
      <c r="Z114">
        <v>8849.75</v>
      </c>
      <c r="AC114">
        <v>0</v>
      </c>
    </row>
    <row r="115" spans="1:29">
      <c r="A115" t="s">
        <v>130</v>
      </c>
      <c r="B115" t="s">
        <v>81</v>
      </c>
      <c r="C115" t="s">
        <v>180</v>
      </c>
      <c r="D115" t="s">
        <v>82</v>
      </c>
      <c r="E115" t="s">
        <v>132</v>
      </c>
      <c r="F115" t="s">
        <v>142</v>
      </c>
      <c r="G115">
        <v>65</v>
      </c>
      <c r="H115">
        <v>65</v>
      </c>
      <c r="I115" s="16">
        <v>0.41739583333333335</v>
      </c>
      <c r="J115">
        <v>1210052990</v>
      </c>
      <c r="K115" t="s">
        <v>134</v>
      </c>
      <c r="L115">
        <v>154.25</v>
      </c>
      <c r="M115">
        <v>0</v>
      </c>
      <c r="N115" s="16">
        <v>0.41739583333333335</v>
      </c>
      <c r="O115" t="s">
        <v>135</v>
      </c>
      <c r="P115">
        <v>1400000025117610</v>
      </c>
      <c r="Q115" t="s">
        <v>130</v>
      </c>
      <c r="S115" t="s">
        <v>136</v>
      </c>
      <c r="T115" t="s">
        <v>145</v>
      </c>
      <c r="U115" t="s">
        <v>130</v>
      </c>
      <c r="V115" t="s">
        <v>138</v>
      </c>
      <c r="W115">
        <v>0</v>
      </c>
      <c r="X115" t="s">
        <v>139</v>
      </c>
      <c r="Y115">
        <v>156.85</v>
      </c>
      <c r="Z115">
        <v>10195.25</v>
      </c>
      <c r="AC115">
        <v>0</v>
      </c>
    </row>
    <row r="116" spans="1:29">
      <c r="A116" t="s">
        <v>130</v>
      </c>
      <c r="B116" t="s">
        <v>81</v>
      </c>
      <c r="C116" t="s">
        <v>178</v>
      </c>
      <c r="D116" t="s">
        <v>82</v>
      </c>
      <c r="E116" t="s">
        <v>132</v>
      </c>
      <c r="F116" t="s">
        <v>133</v>
      </c>
      <c r="G116">
        <v>65</v>
      </c>
      <c r="H116">
        <v>260</v>
      </c>
      <c r="I116" s="16">
        <v>0.41561342592592593</v>
      </c>
      <c r="J116">
        <v>1210069854</v>
      </c>
      <c r="K116" t="s">
        <v>134</v>
      </c>
      <c r="L116">
        <v>19.3</v>
      </c>
      <c r="M116">
        <v>0</v>
      </c>
      <c r="N116" s="16">
        <v>0.41561342592592593</v>
      </c>
      <c r="O116" t="s">
        <v>135</v>
      </c>
      <c r="P116">
        <v>1600000021031610</v>
      </c>
      <c r="Q116" t="s">
        <v>130</v>
      </c>
      <c r="S116" t="s">
        <v>136</v>
      </c>
      <c r="T116" t="s">
        <v>137</v>
      </c>
      <c r="U116" t="s">
        <v>130</v>
      </c>
      <c r="V116" t="s">
        <v>138</v>
      </c>
      <c r="W116">
        <v>0</v>
      </c>
      <c r="X116" t="s">
        <v>139</v>
      </c>
      <c r="Y116">
        <v>19.2</v>
      </c>
      <c r="Z116">
        <v>4992</v>
      </c>
      <c r="AC116">
        <v>0</v>
      </c>
    </row>
    <row r="117" spans="1:29">
      <c r="A117" t="s">
        <v>130</v>
      </c>
      <c r="B117" t="s">
        <v>81</v>
      </c>
      <c r="C117" t="s">
        <v>178</v>
      </c>
      <c r="D117" t="s">
        <v>82</v>
      </c>
      <c r="E117" t="s">
        <v>132</v>
      </c>
      <c r="F117" t="s">
        <v>133</v>
      </c>
      <c r="G117">
        <v>65</v>
      </c>
      <c r="H117">
        <v>260</v>
      </c>
      <c r="I117" s="16">
        <v>0.41561342592592593</v>
      </c>
      <c r="J117">
        <v>1210069854</v>
      </c>
      <c r="K117" t="s">
        <v>134</v>
      </c>
      <c r="L117">
        <v>19.3</v>
      </c>
      <c r="M117">
        <v>0</v>
      </c>
      <c r="N117" s="16">
        <v>0.41561342592592593</v>
      </c>
      <c r="O117" t="s">
        <v>140</v>
      </c>
      <c r="P117">
        <v>1600000021031610</v>
      </c>
      <c r="Q117" t="s">
        <v>130</v>
      </c>
      <c r="S117" t="s">
        <v>136</v>
      </c>
      <c r="T117" t="s">
        <v>137</v>
      </c>
      <c r="U117" t="s">
        <v>130</v>
      </c>
      <c r="V117" t="s">
        <v>138</v>
      </c>
      <c r="W117">
        <v>65</v>
      </c>
      <c r="X117" t="s">
        <v>139</v>
      </c>
      <c r="Y117">
        <v>19.2</v>
      </c>
      <c r="Z117">
        <v>3744</v>
      </c>
      <c r="AC117">
        <v>0</v>
      </c>
    </row>
    <row r="118" spans="1:29">
      <c r="A118" t="s">
        <v>130</v>
      </c>
      <c r="B118" t="s">
        <v>81</v>
      </c>
      <c r="C118" t="s">
        <v>178</v>
      </c>
      <c r="D118" t="s">
        <v>82</v>
      </c>
      <c r="E118" t="s">
        <v>132</v>
      </c>
      <c r="F118" t="s">
        <v>133</v>
      </c>
      <c r="G118">
        <v>130</v>
      </c>
      <c r="H118">
        <v>260</v>
      </c>
      <c r="I118" s="16">
        <v>0.41561342592592593</v>
      </c>
      <c r="J118">
        <v>1210069854</v>
      </c>
      <c r="K118" t="s">
        <v>134</v>
      </c>
      <c r="L118">
        <v>19.3</v>
      </c>
      <c r="M118">
        <v>0</v>
      </c>
      <c r="N118" s="16">
        <v>0.41561342592592593</v>
      </c>
      <c r="O118" t="s">
        <v>140</v>
      </c>
      <c r="P118">
        <v>1600000021031610</v>
      </c>
      <c r="Q118" t="s">
        <v>130</v>
      </c>
      <c r="S118" t="s">
        <v>136</v>
      </c>
      <c r="T118" t="s">
        <v>137</v>
      </c>
      <c r="U118" t="s">
        <v>130</v>
      </c>
      <c r="V118" t="s">
        <v>138</v>
      </c>
      <c r="W118">
        <v>130</v>
      </c>
      <c r="X118" t="s">
        <v>139</v>
      </c>
      <c r="Y118">
        <v>19.2</v>
      </c>
      <c r="Z118">
        <v>2496</v>
      </c>
      <c r="AC118">
        <v>0</v>
      </c>
    </row>
    <row r="119" spans="1:29">
      <c r="A119" t="s">
        <v>130</v>
      </c>
      <c r="B119" t="s">
        <v>81</v>
      </c>
      <c r="C119" t="s">
        <v>184</v>
      </c>
      <c r="D119" t="s">
        <v>82</v>
      </c>
      <c r="E119" t="s">
        <v>132</v>
      </c>
      <c r="F119" t="s">
        <v>142</v>
      </c>
      <c r="G119">
        <v>65</v>
      </c>
      <c r="H119">
        <v>260</v>
      </c>
      <c r="I119" s="16">
        <v>0.4153472222222222</v>
      </c>
      <c r="J119">
        <v>1210069833</v>
      </c>
      <c r="K119" t="s">
        <v>134</v>
      </c>
      <c r="L119">
        <v>20.75</v>
      </c>
      <c r="M119">
        <v>0</v>
      </c>
      <c r="N119" s="16">
        <v>0.4153472222222222</v>
      </c>
      <c r="O119" t="s">
        <v>135</v>
      </c>
      <c r="P119">
        <v>1100000020552220</v>
      </c>
      <c r="Q119" t="s">
        <v>130</v>
      </c>
      <c r="S119" t="s">
        <v>136</v>
      </c>
      <c r="T119" t="s">
        <v>137</v>
      </c>
      <c r="U119" t="s">
        <v>130</v>
      </c>
      <c r="V119" t="s">
        <v>138</v>
      </c>
      <c r="W119">
        <v>0</v>
      </c>
      <c r="X119" t="s">
        <v>139</v>
      </c>
      <c r="Y119">
        <v>20.8</v>
      </c>
      <c r="Z119">
        <v>5408</v>
      </c>
      <c r="AC119">
        <v>0</v>
      </c>
    </row>
    <row r="120" spans="1:29">
      <c r="A120" t="s">
        <v>130</v>
      </c>
      <c r="B120" t="s">
        <v>81</v>
      </c>
      <c r="C120" t="s">
        <v>184</v>
      </c>
      <c r="D120" t="s">
        <v>82</v>
      </c>
      <c r="E120" t="s">
        <v>132</v>
      </c>
      <c r="F120" t="s">
        <v>142</v>
      </c>
      <c r="G120">
        <v>65</v>
      </c>
      <c r="H120">
        <v>260</v>
      </c>
      <c r="I120" s="16">
        <v>0.4153472222222222</v>
      </c>
      <c r="J120">
        <v>1210069833</v>
      </c>
      <c r="K120" t="s">
        <v>134</v>
      </c>
      <c r="L120">
        <v>20.75</v>
      </c>
      <c r="M120">
        <v>0</v>
      </c>
      <c r="N120" s="16">
        <v>0.4153472222222222</v>
      </c>
      <c r="O120" t="s">
        <v>140</v>
      </c>
      <c r="P120">
        <v>1100000020552220</v>
      </c>
      <c r="Q120" t="s">
        <v>130</v>
      </c>
      <c r="S120" t="s">
        <v>136</v>
      </c>
      <c r="T120" t="s">
        <v>137</v>
      </c>
      <c r="U120" t="s">
        <v>130</v>
      </c>
      <c r="V120" t="s">
        <v>138</v>
      </c>
      <c r="W120">
        <v>65</v>
      </c>
      <c r="X120" t="s">
        <v>139</v>
      </c>
      <c r="Y120">
        <v>20.8</v>
      </c>
      <c r="Z120">
        <v>4056</v>
      </c>
      <c r="AC120">
        <v>0</v>
      </c>
    </row>
    <row r="121" spans="1:29">
      <c r="A121" t="s">
        <v>130</v>
      </c>
      <c r="B121" t="s">
        <v>81</v>
      </c>
      <c r="C121" t="s">
        <v>184</v>
      </c>
      <c r="D121" t="s">
        <v>82</v>
      </c>
      <c r="E121" t="s">
        <v>132</v>
      </c>
      <c r="F121" t="s">
        <v>142</v>
      </c>
      <c r="G121">
        <v>65</v>
      </c>
      <c r="H121">
        <v>260</v>
      </c>
      <c r="I121" s="16">
        <v>0.4153472222222222</v>
      </c>
      <c r="J121">
        <v>1210069833</v>
      </c>
      <c r="K121" t="s">
        <v>134</v>
      </c>
      <c r="L121">
        <v>20.75</v>
      </c>
      <c r="M121">
        <v>0</v>
      </c>
      <c r="N121" s="16">
        <v>0.4153472222222222</v>
      </c>
      <c r="O121" t="s">
        <v>140</v>
      </c>
      <c r="P121">
        <v>1100000020552220</v>
      </c>
      <c r="Q121" t="s">
        <v>130</v>
      </c>
      <c r="S121" t="s">
        <v>136</v>
      </c>
      <c r="T121" t="s">
        <v>137</v>
      </c>
      <c r="U121" t="s">
        <v>130</v>
      </c>
      <c r="V121" t="s">
        <v>138</v>
      </c>
      <c r="W121">
        <v>130</v>
      </c>
      <c r="X121" t="s">
        <v>139</v>
      </c>
      <c r="Y121">
        <v>20.8</v>
      </c>
      <c r="Z121">
        <v>2704</v>
      </c>
      <c r="AC121">
        <v>0</v>
      </c>
    </row>
    <row r="122" spans="1:29">
      <c r="A122" t="s">
        <v>130</v>
      </c>
      <c r="B122" t="s">
        <v>81</v>
      </c>
      <c r="C122" t="s">
        <v>184</v>
      </c>
      <c r="D122" t="s">
        <v>82</v>
      </c>
      <c r="E122" t="s">
        <v>132</v>
      </c>
      <c r="F122" t="s">
        <v>142</v>
      </c>
      <c r="G122">
        <v>65</v>
      </c>
      <c r="H122">
        <v>260</v>
      </c>
      <c r="I122" s="16">
        <v>0.4153472222222222</v>
      </c>
      <c r="J122">
        <v>1210069833</v>
      </c>
      <c r="K122" t="s">
        <v>134</v>
      </c>
      <c r="L122">
        <v>20.75</v>
      </c>
      <c r="M122">
        <v>0</v>
      </c>
      <c r="N122" s="16">
        <v>0.4153472222222222</v>
      </c>
      <c r="O122" t="s">
        <v>140</v>
      </c>
      <c r="P122">
        <v>1100000020552220</v>
      </c>
      <c r="Q122" t="s">
        <v>130</v>
      </c>
      <c r="S122" t="s">
        <v>136</v>
      </c>
      <c r="T122" t="s">
        <v>137</v>
      </c>
      <c r="U122" t="s">
        <v>130</v>
      </c>
      <c r="V122" t="s">
        <v>138</v>
      </c>
      <c r="W122">
        <v>195</v>
      </c>
      <c r="X122" t="s">
        <v>139</v>
      </c>
      <c r="Y122">
        <v>20.8</v>
      </c>
      <c r="Z122">
        <v>1352</v>
      </c>
      <c r="AC122">
        <v>0</v>
      </c>
    </row>
    <row r="123" spans="1:29">
      <c r="A123" t="s">
        <v>130</v>
      </c>
      <c r="B123" t="s">
        <v>81</v>
      </c>
      <c r="C123" t="s">
        <v>185</v>
      </c>
      <c r="D123" t="s">
        <v>82</v>
      </c>
      <c r="E123" t="s">
        <v>132</v>
      </c>
      <c r="F123" t="s">
        <v>142</v>
      </c>
      <c r="G123">
        <v>65</v>
      </c>
      <c r="H123">
        <v>65</v>
      </c>
      <c r="I123" s="16">
        <v>0.41491898148148149</v>
      </c>
      <c r="J123">
        <v>1210069809</v>
      </c>
      <c r="K123" t="s">
        <v>134</v>
      </c>
      <c r="L123">
        <v>190.55</v>
      </c>
      <c r="M123">
        <v>0</v>
      </c>
      <c r="N123" s="16">
        <v>0.41491898148148149</v>
      </c>
      <c r="O123" t="s">
        <v>135</v>
      </c>
      <c r="P123">
        <v>1400000023437210</v>
      </c>
      <c r="Q123" t="s">
        <v>130</v>
      </c>
      <c r="S123" t="s">
        <v>136</v>
      </c>
      <c r="T123" t="s">
        <v>137</v>
      </c>
      <c r="U123" t="s">
        <v>130</v>
      </c>
      <c r="V123" t="s">
        <v>138</v>
      </c>
      <c r="W123">
        <v>0</v>
      </c>
      <c r="X123" t="s">
        <v>139</v>
      </c>
      <c r="Y123">
        <v>190.55</v>
      </c>
      <c r="Z123">
        <v>12385.75</v>
      </c>
      <c r="AC123">
        <v>0</v>
      </c>
    </row>
    <row r="124" spans="1:29">
      <c r="A124" t="s">
        <v>130</v>
      </c>
      <c r="B124" t="s">
        <v>81</v>
      </c>
      <c r="C124" t="s">
        <v>148</v>
      </c>
      <c r="D124" t="s">
        <v>82</v>
      </c>
      <c r="E124" t="s">
        <v>132</v>
      </c>
      <c r="F124" t="s">
        <v>133</v>
      </c>
      <c r="G124">
        <v>65</v>
      </c>
      <c r="H124">
        <v>65</v>
      </c>
      <c r="I124" s="16">
        <v>0.41462962962962963</v>
      </c>
      <c r="J124">
        <v>1210069788</v>
      </c>
      <c r="K124" t="s">
        <v>134</v>
      </c>
      <c r="L124">
        <v>243.1</v>
      </c>
      <c r="M124">
        <v>0</v>
      </c>
      <c r="N124" s="16">
        <v>0.41462962962962963</v>
      </c>
      <c r="O124" t="s">
        <v>135</v>
      </c>
      <c r="P124">
        <v>1000000021215740</v>
      </c>
      <c r="Q124" t="s">
        <v>130</v>
      </c>
      <c r="S124" t="s">
        <v>136</v>
      </c>
      <c r="T124" t="s">
        <v>137</v>
      </c>
      <c r="U124" t="s">
        <v>130</v>
      </c>
      <c r="V124" t="s">
        <v>138</v>
      </c>
      <c r="W124">
        <v>0</v>
      </c>
      <c r="X124" t="s">
        <v>139</v>
      </c>
      <c r="Y124">
        <v>243</v>
      </c>
      <c r="Z124">
        <v>15795</v>
      </c>
      <c r="AC124">
        <v>0</v>
      </c>
    </row>
    <row r="125" spans="1:29">
      <c r="A125" t="s">
        <v>130</v>
      </c>
      <c r="B125" t="s">
        <v>81</v>
      </c>
      <c r="C125" t="s">
        <v>181</v>
      </c>
      <c r="D125" t="s">
        <v>82</v>
      </c>
      <c r="E125" t="s">
        <v>132</v>
      </c>
      <c r="F125" t="s">
        <v>142</v>
      </c>
      <c r="G125">
        <v>130</v>
      </c>
      <c r="H125">
        <v>130</v>
      </c>
      <c r="I125" s="16">
        <v>0.41324074074074074</v>
      </c>
      <c r="J125">
        <v>1210052974</v>
      </c>
      <c r="K125" t="s">
        <v>134</v>
      </c>
      <c r="L125">
        <v>135.6</v>
      </c>
      <c r="M125">
        <v>0</v>
      </c>
      <c r="N125" s="16">
        <v>0.41324074074074074</v>
      </c>
      <c r="O125" t="s">
        <v>135</v>
      </c>
      <c r="P125">
        <v>1400000022397070</v>
      </c>
      <c r="Q125" t="s">
        <v>130</v>
      </c>
      <c r="S125" t="s">
        <v>136</v>
      </c>
      <c r="T125" t="s">
        <v>145</v>
      </c>
      <c r="U125" t="s">
        <v>130</v>
      </c>
      <c r="V125" t="s">
        <v>138</v>
      </c>
      <c r="W125">
        <v>0</v>
      </c>
      <c r="X125" t="s">
        <v>139</v>
      </c>
      <c r="Y125">
        <v>138.55000000000001</v>
      </c>
      <c r="Z125">
        <v>18011.5</v>
      </c>
      <c r="AC125">
        <v>0</v>
      </c>
    </row>
    <row r="126" spans="1:29">
      <c r="A126" t="s">
        <v>130</v>
      </c>
      <c r="B126" t="s">
        <v>81</v>
      </c>
      <c r="C126" t="s">
        <v>180</v>
      </c>
      <c r="D126" t="s">
        <v>82</v>
      </c>
      <c r="E126" t="s">
        <v>132</v>
      </c>
      <c r="F126" t="s">
        <v>133</v>
      </c>
      <c r="G126">
        <v>130</v>
      </c>
      <c r="H126">
        <v>130</v>
      </c>
      <c r="I126" s="16">
        <v>0.41322916666666665</v>
      </c>
      <c r="J126">
        <v>1210052973</v>
      </c>
      <c r="K126" t="s">
        <v>134</v>
      </c>
      <c r="L126">
        <v>156.05000000000001</v>
      </c>
      <c r="M126">
        <v>0</v>
      </c>
      <c r="N126" s="16">
        <v>0.41322916666666665</v>
      </c>
      <c r="O126" t="s">
        <v>135</v>
      </c>
      <c r="P126">
        <v>1400000022390150</v>
      </c>
      <c r="Q126" t="s">
        <v>130</v>
      </c>
      <c r="S126" t="s">
        <v>136</v>
      </c>
      <c r="T126" t="s">
        <v>145</v>
      </c>
      <c r="U126" t="s">
        <v>130</v>
      </c>
      <c r="V126" t="s">
        <v>138</v>
      </c>
      <c r="W126">
        <v>0</v>
      </c>
      <c r="X126" t="s">
        <v>139</v>
      </c>
      <c r="Y126">
        <v>153.4</v>
      </c>
      <c r="Z126">
        <v>19942</v>
      </c>
      <c r="AC126">
        <v>0</v>
      </c>
    </row>
    <row r="127" spans="1:29">
      <c r="A127" t="s">
        <v>130</v>
      </c>
      <c r="B127" t="s">
        <v>81</v>
      </c>
      <c r="C127" t="s">
        <v>181</v>
      </c>
      <c r="D127" t="s">
        <v>82</v>
      </c>
      <c r="E127" t="s">
        <v>132</v>
      </c>
      <c r="F127" t="s">
        <v>142</v>
      </c>
      <c r="G127">
        <v>65</v>
      </c>
      <c r="H127">
        <v>130</v>
      </c>
      <c r="I127" s="16">
        <v>0.41322916666666665</v>
      </c>
      <c r="J127">
        <v>1210052972</v>
      </c>
      <c r="K127" t="s">
        <v>134</v>
      </c>
      <c r="L127">
        <v>136.05000000000001</v>
      </c>
      <c r="M127">
        <v>0</v>
      </c>
      <c r="N127" s="16">
        <v>0.41322916666666665</v>
      </c>
      <c r="O127" t="s">
        <v>135</v>
      </c>
      <c r="P127">
        <v>1400000022389680</v>
      </c>
      <c r="Q127" t="s">
        <v>130</v>
      </c>
      <c r="S127" t="s">
        <v>136</v>
      </c>
      <c r="T127" t="s">
        <v>145</v>
      </c>
      <c r="U127" t="s">
        <v>130</v>
      </c>
      <c r="V127" t="s">
        <v>138</v>
      </c>
      <c r="W127">
        <v>0</v>
      </c>
      <c r="X127" t="s">
        <v>139</v>
      </c>
      <c r="Y127">
        <v>138.4</v>
      </c>
      <c r="Z127">
        <v>17992</v>
      </c>
      <c r="AC127">
        <v>0</v>
      </c>
    </row>
    <row r="128" spans="1:29">
      <c r="A128" t="s">
        <v>130</v>
      </c>
      <c r="B128" t="s">
        <v>81</v>
      </c>
      <c r="C128" t="s">
        <v>181</v>
      </c>
      <c r="D128" t="s">
        <v>82</v>
      </c>
      <c r="E128" t="s">
        <v>132</v>
      </c>
      <c r="F128" t="s">
        <v>142</v>
      </c>
      <c r="G128">
        <v>65</v>
      </c>
      <c r="H128">
        <v>130</v>
      </c>
      <c r="I128" s="16">
        <v>0.41322916666666665</v>
      </c>
      <c r="J128">
        <v>1210052972</v>
      </c>
      <c r="K128" t="s">
        <v>134</v>
      </c>
      <c r="L128">
        <v>136.05000000000001</v>
      </c>
      <c r="M128">
        <v>0</v>
      </c>
      <c r="N128" s="16">
        <v>0.41322916666666665</v>
      </c>
      <c r="O128" t="s">
        <v>140</v>
      </c>
      <c r="P128">
        <v>1400000022389680</v>
      </c>
      <c r="Q128" t="s">
        <v>130</v>
      </c>
      <c r="S128" t="s">
        <v>136</v>
      </c>
      <c r="T128" t="s">
        <v>145</v>
      </c>
      <c r="U128" t="s">
        <v>130</v>
      </c>
      <c r="V128" t="s">
        <v>138</v>
      </c>
      <c r="W128">
        <v>65</v>
      </c>
      <c r="X128" t="s">
        <v>139</v>
      </c>
      <c r="Y128">
        <v>138.4</v>
      </c>
      <c r="Z128">
        <v>8996</v>
      </c>
      <c r="AC128">
        <v>0</v>
      </c>
    </row>
    <row r="129" spans="1:29">
      <c r="A129" t="s">
        <v>130</v>
      </c>
      <c r="B129" t="s">
        <v>81</v>
      </c>
      <c r="C129" t="s">
        <v>180</v>
      </c>
      <c r="D129" t="s">
        <v>82</v>
      </c>
      <c r="E129" t="s">
        <v>132</v>
      </c>
      <c r="F129" t="s">
        <v>133</v>
      </c>
      <c r="G129">
        <v>130</v>
      </c>
      <c r="H129">
        <v>130</v>
      </c>
      <c r="I129" s="16">
        <v>0.41322916666666665</v>
      </c>
      <c r="J129">
        <v>1210052971</v>
      </c>
      <c r="K129" t="s">
        <v>134</v>
      </c>
      <c r="L129">
        <v>156.05000000000001</v>
      </c>
      <c r="M129">
        <v>0</v>
      </c>
      <c r="N129" s="16">
        <v>0.41322916666666665</v>
      </c>
      <c r="O129" t="s">
        <v>135</v>
      </c>
      <c r="P129">
        <v>1400000022382900</v>
      </c>
      <c r="Q129" t="s">
        <v>130</v>
      </c>
      <c r="S129" t="s">
        <v>136</v>
      </c>
      <c r="T129" t="s">
        <v>145</v>
      </c>
      <c r="U129" t="s">
        <v>130</v>
      </c>
      <c r="V129" t="s">
        <v>138</v>
      </c>
      <c r="W129">
        <v>0</v>
      </c>
      <c r="X129" t="s">
        <v>139</v>
      </c>
      <c r="Y129">
        <v>153.55000000000001</v>
      </c>
      <c r="Z129">
        <v>19961.5</v>
      </c>
      <c r="AC129">
        <v>0</v>
      </c>
    </row>
    <row r="130" spans="1:29">
      <c r="A130" t="s">
        <v>130</v>
      </c>
      <c r="B130" t="s">
        <v>81</v>
      </c>
      <c r="C130" t="s">
        <v>178</v>
      </c>
      <c r="D130" t="s">
        <v>82</v>
      </c>
      <c r="E130" t="s">
        <v>132</v>
      </c>
      <c r="F130" t="s">
        <v>142</v>
      </c>
      <c r="G130">
        <v>65</v>
      </c>
      <c r="H130">
        <v>130</v>
      </c>
      <c r="I130" s="16">
        <v>0.40638888888888891</v>
      </c>
      <c r="J130">
        <v>1210069202</v>
      </c>
      <c r="K130" t="s">
        <v>134</v>
      </c>
      <c r="L130">
        <v>19.149999999999999</v>
      </c>
      <c r="M130">
        <v>0</v>
      </c>
      <c r="N130" s="16">
        <v>0.40638888888888891</v>
      </c>
      <c r="O130" t="s">
        <v>135</v>
      </c>
      <c r="P130">
        <v>1600000015871450</v>
      </c>
      <c r="Q130" t="s">
        <v>130</v>
      </c>
      <c r="S130" t="s">
        <v>136</v>
      </c>
      <c r="T130" t="s">
        <v>137</v>
      </c>
      <c r="U130" t="s">
        <v>130</v>
      </c>
      <c r="V130" t="s">
        <v>138</v>
      </c>
      <c r="W130">
        <v>0</v>
      </c>
      <c r="X130" t="s">
        <v>139</v>
      </c>
      <c r="Y130">
        <v>19.149999999999999</v>
      </c>
      <c r="Z130">
        <v>2489.5</v>
      </c>
      <c r="AC130">
        <v>0</v>
      </c>
    </row>
    <row r="131" spans="1:29">
      <c r="A131" t="s">
        <v>130</v>
      </c>
      <c r="B131" t="s">
        <v>81</v>
      </c>
      <c r="C131" t="s">
        <v>178</v>
      </c>
      <c r="D131" t="s">
        <v>82</v>
      </c>
      <c r="E131" t="s">
        <v>132</v>
      </c>
      <c r="F131" t="s">
        <v>142</v>
      </c>
      <c r="G131">
        <v>65</v>
      </c>
      <c r="H131">
        <v>130</v>
      </c>
      <c r="I131" s="16">
        <v>0.40638888888888891</v>
      </c>
      <c r="J131">
        <v>1210069202</v>
      </c>
      <c r="K131" t="s">
        <v>134</v>
      </c>
      <c r="L131">
        <v>19.149999999999999</v>
      </c>
      <c r="M131">
        <v>0</v>
      </c>
      <c r="N131" s="16">
        <v>0.40638888888888891</v>
      </c>
      <c r="O131" t="s">
        <v>140</v>
      </c>
      <c r="P131">
        <v>1600000015871450</v>
      </c>
      <c r="Q131" t="s">
        <v>130</v>
      </c>
      <c r="S131" t="s">
        <v>136</v>
      </c>
      <c r="T131" t="s">
        <v>137</v>
      </c>
      <c r="U131" t="s">
        <v>130</v>
      </c>
      <c r="V131" t="s">
        <v>138</v>
      </c>
      <c r="W131">
        <v>65</v>
      </c>
      <c r="X131" t="s">
        <v>139</v>
      </c>
      <c r="Y131">
        <v>19.149999999999999</v>
      </c>
      <c r="Z131">
        <v>1244.75</v>
      </c>
      <c r="AC131">
        <v>0</v>
      </c>
    </row>
    <row r="132" spans="1:29">
      <c r="A132" t="s">
        <v>130</v>
      </c>
      <c r="B132" t="s">
        <v>81</v>
      </c>
      <c r="C132" t="s">
        <v>184</v>
      </c>
      <c r="D132" t="s">
        <v>82</v>
      </c>
      <c r="E132" t="s">
        <v>132</v>
      </c>
      <c r="F132" t="s">
        <v>133</v>
      </c>
      <c r="G132">
        <v>65</v>
      </c>
      <c r="H132">
        <v>130</v>
      </c>
      <c r="I132" s="16">
        <v>0.40401620370370372</v>
      </c>
      <c r="J132">
        <v>1210069000</v>
      </c>
      <c r="K132" t="s">
        <v>134</v>
      </c>
      <c r="L132">
        <v>19.899999999999999</v>
      </c>
      <c r="M132">
        <v>0</v>
      </c>
      <c r="N132" s="16">
        <v>0.40401620370370372</v>
      </c>
      <c r="O132" t="s">
        <v>135</v>
      </c>
      <c r="P132">
        <v>1100000014151890</v>
      </c>
      <c r="Q132" t="s">
        <v>130</v>
      </c>
      <c r="S132" t="s">
        <v>136</v>
      </c>
      <c r="T132" t="s">
        <v>137</v>
      </c>
      <c r="U132" t="s">
        <v>130</v>
      </c>
      <c r="V132" t="s">
        <v>138</v>
      </c>
      <c r="W132">
        <v>0</v>
      </c>
      <c r="X132" t="s">
        <v>139</v>
      </c>
      <c r="Y132">
        <v>19.649999999999999</v>
      </c>
      <c r="Z132">
        <v>2554.5</v>
      </c>
      <c r="AC132">
        <v>0</v>
      </c>
    </row>
    <row r="133" spans="1:29">
      <c r="A133" t="s">
        <v>130</v>
      </c>
      <c r="B133" t="s">
        <v>81</v>
      </c>
      <c r="C133" t="s">
        <v>184</v>
      </c>
      <c r="D133" t="s">
        <v>82</v>
      </c>
      <c r="E133" t="s">
        <v>132</v>
      </c>
      <c r="F133" t="s">
        <v>133</v>
      </c>
      <c r="G133">
        <v>65</v>
      </c>
      <c r="H133">
        <v>130</v>
      </c>
      <c r="I133" s="16">
        <v>0.40401620370370372</v>
      </c>
      <c r="J133">
        <v>1210069000</v>
      </c>
      <c r="K133" t="s">
        <v>134</v>
      </c>
      <c r="L133">
        <v>19.899999999999999</v>
      </c>
      <c r="M133">
        <v>0</v>
      </c>
      <c r="N133" s="16">
        <v>0.40401620370370372</v>
      </c>
      <c r="O133" t="s">
        <v>140</v>
      </c>
      <c r="P133">
        <v>1100000014151890</v>
      </c>
      <c r="Q133" t="s">
        <v>130</v>
      </c>
      <c r="S133" t="s">
        <v>136</v>
      </c>
      <c r="T133" t="s">
        <v>137</v>
      </c>
      <c r="U133" t="s">
        <v>130</v>
      </c>
      <c r="V133" t="s">
        <v>138</v>
      </c>
      <c r="W133">
        <v>65</v>
      </c>
      <c r="X133" t="s">
        <v>139</v>
      </c>
      <c r="Y133">
        <v>19.649999999999999</v>
      </c>
      <c r="Z133">
        <v>1277.25</v>
      </c>
      <c r="AC133">
        <v>0</v>
      </c>
    </row>
    <row r="134" spans="1:29">
      <c r="A134" t="s">
        <v>130</v>
      </c>
      <c r="B134" t="s">
        <v>81</v>
      </c>
      <c r="C134" t="s">
        <v>185</v>
      </c>
      <c r="D134" t="s">
        <v>82</v>
      </c>
      <c r="E134" t="s">
        <v>132</v>
      </c>
      <c r="F134" t="s">
        <v>142</v>
      </c>
      <c r="G134">
        <v>65</v>
      </c>
      <c r="H134">
        <v>130</v>
      </c>
      <c r="I134" s="16">
        <v>0.39893518518518517</v>
      </c>
      <c r="J134">
        <v>1210066582</v>
      </c>
      <c r="K134" t="s">
        <v>134</v>
      </c>
      <c r="L134">
        <v>194.55</v>
      </c>
      <c r="M134">
        <v>0</v>
      </c>
      <c r="N134" s="16">
        <v>0.39893518518518517</v>
      </c>
      <c r="O134" t="s">
        <v>135</v>
      </c>
      <c r="P134">
        <v>1400000012765010</v>
      </c>
      <c r="Q134" t="s">
        <v>130</v>
      </c>
      <c r="S134" t="s">
        <v>136</v>
      </c>
      <c r="T134" t="s">
        <v>137</v>
      </c>
      <c r="U134" t="s">
        <v>130</v>
      </c>
      <c r="V134" t="s">
        <v>138</v>
      </c>
      <c r="W134">
        <v>0</v>
      </c>
      <c r="X134" t="s">
        <v>139</v>
      </c>
      <c r="Y134">
        <v>194.55</v>
      </c>
      <c r="Z134">
        <v>25291.5</v>
      </c>
      <c r="AC134">
        <v>0</v>
      </c>
    </row>
    <row r="135" spans="1:29">
      <c r="A135" t="s">
        <v>130</v>
      </c>
      <c r="B135" t="s">
        <v>81</v>
      </c>
      <c r="C135" t="s">
        <v>185</v>
      </c>
      <c r="D135" t="s">
        <v>82</v>
      </c>
      <c r="E135" t="s">
        <v>132</v>
      </c>
      <c r="F135" t="s">
        <v>142</v>
      </c>
      <c r="G135">
        <v>65</v>
      </c>
      <c r="H135">
        <v>130</v>
      </c>
      <c r="I135" s="16">
        <v>0.39893518518518517</v>
      </c>
      <c r="J135">
        <v>1210066582</v>
      </c>
      <c r="K135" t="s">
        <v>134</v>
      </c>
      <c r="L135">
        <v>194.55</v>
      </c>
      <c r="M135">
        <v>0</v>
      </c>
      <c r="N135" s="16">
        <v>0.39893518518518517</v>
      </c>
      <c r="O135" t="s">
        <v>140</v>
      </c>
      <c r="P135">
        <v>1400000012765010</v>
      </c>
      <c r="Q135" t="s">
        <v>130</v>
      </c>
      <c r="S135" t="s">
        <v>136</v>
      </c>
      <c r="T135" t="s">
        <v>137</v>
      </c>
      <c r="U135" t="s">
        <v>130</v>
      </c>
      <c r="V135" t="s">
        <v>138</v>
      </c>
      <c r="W135">
        <v>65</v>
      </c>
      <c r="X135" t="s">
        <v>139</v>
      </c>
      <c r="Y135">
        <v>194.55</v>
      </c>
      <c r="Z135">
        <v>12645.75</v>
      </c>
      <c r="AC135">
        <v>0</v>
      </c>
    </row>
    <row r="136" spans="1:29">
      <c r="A136" t="s">
        <v>130</v>
      </c>
      <c r="B136" t="s">
        <v>81</v>
      </c>
      <c r="C136" t="s">
        <v>184</v>
      </c>
      <c r="D136" t="s">
        <v>82</v>
      </c>
      <c r="E136" t="s">
        <v>132</v>
      </c>
      <c r="F136" t="s">
        <v>133</v>
      </c>
      <c r="G136">
        <v>65</v>
      </c>
      <c r="H136">
        <v>130</v>
      </c>
      <c r="I136" s="16">
        <v>0.39784722222222224</v>
      </c>
      <c r="J136">
        <v>1210066459</v>
      </c>
      <c r="K136" t="s">
        <v>134</v>
      </c>
      <c r="L136">
        <v>20.9</v>
      </c>
      <c r="M136">
        <v>0</v>
      </c>
      <c r="N136" s="16">
        <v>0.39784722222222224</v>
      </c>
      <c r="O136" t="s">
        <v>135</v>
      </c>
      <c r="P136">
        <v>1100000010112730</v>
      </c>
      <c r="Q136" t="s">
        <v>130</v>
      </c>
      <c r="S136" t="s">
        <v>136</v>
      </c>
      <c r="T136" t="s">
        <v>137</v>
      </c>
      <c r="U136" t="s">
        <v>130</v>
      </c>
      <c r="V136" t="s">
        <v>138</v>
      </c>
      <c r="W136">
        <v>0</v>
      </c>
      <c r="X136" t="s">
        <v>139</v>
      </c>
      <c r="Y136">
        <v>20.9</v>
      </c>
      <c r="Z136">
        <v>2717</v>
      </c>
      <c r="AC136">
        <v>0</v>
      </c>
    </row>
    <row r="137" spans="1:29">
      <c r="A137" t="s">
        <v>130</v>
      </c>
      <c r="B137" t="s">
        <v>81</v>
      </c>
      <c r="C137" t="s">
        <v>184</v>
      </c>
      <c r="D137" t="s">
        <v>82</v>
      </c>
      <c r="E137" t="s">
        <v>132</v>
      </c>
      <c r="F137" t="s">
        <v>133</v>
      </c>
      <c r="G137">
        <v>65</v>
      </c>
      <c r="H137">
        <v>130</v>
      </c>
      <c r="I137" s="16">
        <v>0.39784722222222224</v>
      </c>
      <c r="J137">
        <v>1210066459</v>
      </c>
      <c r="K137" t="s">
        <v>134</v>
      </c>
      <c r="L137">
        <v>20.9</v>
      </c>
      <c r="M137">
        <v>0</v>
      </c>
      <c r="N137" s="16">
        <v>0.39784722222222224</v>
      </c>
      <c r="O137" t="s">
        <v>140</v>
      </c>
      <c r="P137">
        <v>1100000010112730</v>
      </c>
      <c r="Q137" t="s">
        <v>130</v>
      </c>
      <c r="S137" t="s">
        <v>136</v>
      </c>
      <c r="T137" t="s">
        <v>137</v>
      </c>
      <c r="U137" t="s">
        <v>130</v>
      </c>
      <c r="V137" t="s">
        <v>138</v>
      </c>
      <c r="W137">
        <v>65</v>
      </c>
      <c r="X137" t="s">
        <v>139</v>
      </c>
      <c r="Y137">
        <v>20.9</v>
      </c>
      <c r="Z137">
        <v>1358.5</v>
      </c>
      <c r="AC137">
        <v>0</v>
      </c>
    </row>
    <row r="138" spans="1:29">
      <c r="A138" t="s">
        <v>130</v>
      </c>
      <c r="B138" t="s">
        <v>81</v>
      </c>
      <c r="C138" t="s">
        <v>181</v>
      </c>
      <c r="D138" t="s">
        <v>82</v>
      </c>
      <c r="E138" t="s">
        <v>132</v>
      </c>
      <c r="F138" t="s">
        <v>133</v>
      </c>
      <c r="G138">
        <v>130</v>
      </c>
      <c r="H138">
        <v>130</v>
      </c>
      <c r="I138" s="16">
        <v>0.39598379629629632</v>
      </c>
      <c r="J138">
        <v>1210052933</v>
      </c>
      <c r="K138" t="s">
        <v>134</v>
      </c>
      <c r="L138">
        <v>148.30000000000001</v>
      </c>
      <c r="M138">
        <v>0</v>
      </c>
      <c r="N138" s="16">
        <v>0.39598379629629632</v>
      </c>
      <c r="O138" t="s">
        <v>135</v>
      </c>
      <c r="P138">
        <v>1400000010317130</v>
      </c>
      <c r="Q138" t="s">
        <v>130</v>
      </c>
      <c r="S138" t="s">
        <v>136</v>
      </c>
      <c r="T138" t="s">
        <v>145</v>
      </c>
      <c r="U138" t="s">
        <v>130</v>
      </c>
      <c r="V138" t="s">
        <v>138</v>
      </c>
      <c r="W138">
        <v>0</v>
      </c>
      <c r="X138" t="s">
        <v>139</v>
      </c>
      <c r="Y138">
        <v>146.35</v>
      </c>
      <c r="Z138">
        <v>19025.5</v>
      </c>
      <c r="AC138">
        <v>0</v>
      </c>
    </row>
    <row r="139" spans="1:29">
      <c r="A139" t="s">
        <v>130</v>
      </c>
      <c r="B139" t="s">
        <v>81</v>
      </c>
      <c r="C139" t="s">
        <v>180</v>
      </c>
      <c r="D139" t="s">
        <v>82</v>
      </c>
      <c r="E139" t="s">
        <v>132</v>
      </c>
      <c r="F139" t="s">
        <v>142</v>
      </c>
      <c r="G139">
        <v>65</v>
      </c>
      <c r="H139">
        <v>130</v>
      </c>
      <c r="I139" s="16">
        <v>0.39597222222222223</v>
      </c>
      <c r="J139">
        <v>1210052932</v>
      </c>
      <c r="K139" t="s">
        <v>134</v>
      </c>
      <c r="L139">
        <v>146.05000000000001</v>
      </c>
      <c r="M139">
        <v>0</v>
      </c>
      <c r="N139" s="16">
        <v>0.39597222222222223</v>
      </c>
      <c r="O139" t="s">
        <v>135</v>
      </c>
      <c r="P139">
        <v>1400000010316500</v>
      </c>
      <c r="Q139" t="s">
        <v>130</v>
      </c>
      <c r="S139" t="s">
        <v>136</v>
      </c>
      <c r="T139" t="s">
        <v>145</v>
      </c>
      <c r="U139" t="s">
        <v>130</v>
      </c>
      <c r="V139" t="s">
        <v>138</v>
      </c>
      <c r="W139">
        <v>0</v>
      </c>
      <c r="X139" t="s">
        <v>139</v>
      </c>
      <c r="Y139">
        <v>148.25</v>
      </c>
      <c r="Z139">
        <v>19272.5</v>
      </c>
      <c r="AC139">
        <v>0</v>
      </c>
    </row>
    <row r="140" spans="1:29">
      <c r="A140" t="s">
        <v>130</v>
      </c>
      <c r="B140" t="s">
        <v>81</v>
      </c>
      <c r="C140" t="s">
        <v>180</v>
      </c>
      <c r="D140" t="s">
        <v>82</v>
      </c>
      <c r="E140" t="s">
        <v>132</v>
      </c>
      <c r="F140" t="s">
        <v>142</v>
      </c>
      <c r="G140">
        <v>65</v>
      </c>
      <c r="H140">
        <v>130</v>
      </c>
      <c r="I140" s="16">
        <v>0.39597222222222223</v>
      </c>
      <c r="J140">
        <v>1210052932</v>
      </c>
      <c r="K140" t="s">
        <v>134</v>
      </c>
      <c r="L140">
        <v>146.05000000000001</v>
      </c>
      <c r="M140">
        <v>0</v>
      </c>
      <c r="N140" s="16">
        <v>0.39597222222222223</v>
      </c>
      <c r="O140" t="s">
        <v>140</v>
      </c>
      <c r="P140">
        <v>1400000010316500</v>
      </c>
      <c r="Q140" t="s">
        <v>130</v>
      </c>
      <c r="S140" t="s">
        <v>136</v>
      </c>
      <c r="T140" t="s">
        <v>145</v>
      </c>
      <c r="U140" t="s">
        <v>130</v>
      </c>
      <c r="V140" t="s">
        <v>138</v>
      </c>
      <c r="W140">
        <v>65</v>
      </c>
      <c r="X140" t="s">
        <v>139</v>
      </c>
      <c r="Y140">
        <v>148.25</v>
      </c>
      <c r="Z140">
        <v>9636.25</v>
      </c>
      <c r="AC140">
        <v>0</v>
      </c>
    </row>
    <row r="141" spans="1:29">
      <c r="A141" t="s">
        <v>130</v>
      </c>
      <c r="B141" t="s">
        <v>81</v>
      </c>
      <c r="C141" t="s">
        <v>185</v>
      </c>
      <c r="D141" t="s">
        <v>82</v>
      </c>
      <c r="E141" t="s">
        <v>132</v>
      </c>
      <c r="F141" t="s">
        <v>142</v>
      </c>
      <c r="G141">
        <v>65</v>
      </c>
      <c r="H141">
        <v>130</v>
      </c>
      <c r="I141" s="16">
        <v>0.39537037037037037</v>
      </c>
      <c r="J141">
        <v>1210066211</v>
      </c>
      <c r="K141" t="s">
        <v>134</v>
      </c>
      <c r="L141">
        <v>188</v>
      </c>
      <c r="M141">
        <v>0</v>
      </c>
      <c r="N141" s="16">
        <v>0.39537037037037037</v>
      </c>
      <c r="O141" t="s">
        <v>135</v>
      </c>
      <c r="P141">
        <v>1400000009738340</v>
      </c>
      <c r="Q141" t="s">
        <v>130</v>
      </c>
      <c r="S141" t="s">
        <v>136</v>
      </c>
      <c r="T141" t="s">
        <v>137</v>
      </c>
      <c r="U141" t="s">
        <v>130</v>
      </c>
      <c r="V141" t="s">
        <v>138</v>
      </c>
      <c r="W141">
        <v>0</v>
      </c>
      <c r="X141" t="s">
        <v>139</v>
      </c>
      <c r="Y141">
        <v>188</v>
      </c>
      <c r="Z141">
        <v>24440</v>
      </c>
      <c r="AC141">
        <v>0</v>
      </c>
    </row>
    <row r="142" spans="1:29">
      <c r="A142" t="s">
        <v>130</v>
      </c>
      <c r="B142" t="s">
        <v>81</v>
      </c>
      <c r="C142" t="s">
        <v>185</v>
      </c>
      <c r="D142" t="s">
        <v>82</v>
      </c>
      <c r="E142" t="s">
        <v>132</v>
      </c>
      <c r="F142" t="s">
        <v>142</v>
      </c>
      <c r="G142">
        <v>65</v>
      </c>
      <c r="H142">
        <v>130</v>
      </c>
      <c r="I142" s="16">
        <v>0.39537037037037037</v>
      </c>
      <c r="J142">
        <v>1210066211</v>
      </c>
      <c r="K142" t="s">
        <v>134</v>
      </c>
      <c r="L142">
        <v>188</v>
      </c>
      <c r="M142">
        <v>0</v>
      </c>
      <c r="N142" s="16">
        <v>0.39537037037037037</v>
      </c>
      <c r="O142" t="s">
        <v>140</v>
      </c>
      <c r="P142">
        <v>1400000009738340</v>
      </c>
      <c r="Q142" t="s">
        <v>130</v>
      </c>
      <c r="S142" t="s">
        <v>136</v>
      </c>
      <c r="T142" t="s">
        <v>137</v>
      </c>
      <c r="U142" t="s">
        <v>130</v>
      </c>
      <c r="V142" t="s">
        <v>138</v>
      </c>
      <c r="W142">
        <v>65</v>
      </c>
      <c r="X142" t="s">
        <v>139</v>
      </c>
      <c r="Y142">
        <v>188</v>
      </c>
      <c r="Z142">
        <v>12220</v>
      </c>
      <c r="AC142">
        <v>0</v>
      </c>
    </row>
    <row r="143" spans="1:29">
      <c r="A143" t="s">
        <v>130</v>
      </c>
      <c r="B143" t="s">
        <v>81</v>
      </c>
      <c r="C143" t="s">
        <v>157</v>
      </c>
      <c r="D143" t="s">
        <v>82</v>
      </c>
      <c r="E143" t="s">
        <v>132</v>
      </c>
      <c r="F143" t="s">
        <v>133</v>
      </c>
      <c r="G143">
        <v>65</v>
      </c>
      <c r="H143">
        <v>130</v>
      </c>
      <c r="I143" s="16">
        <v>0.39525462962962965</v>
      </c>
      <c r="J143">
        <v>1210066154</v>
      </c>
      <c r="K143" t="s">
        <v>134</v>
      </c>
      <c r="L143">
        <v>203.75</v>
      </c>
      <c r="M143">
        <v>0</v>
      </c>
      <c r="N143" s="16">
        <v>0.39525462962962965</v>
      </c>
      <c r="O143" t="s">
        <v>135</v>
      </c>
      <c r="P143">
        <v>1600000008133220</v>
      </c>
      <c r="Q143" t="s">
        <v>130</v>
      </c>
      <c r="S143" t="s">
        <v>136</v>
      </c>
      <c r="T143" t="s">
        <v>137</v>
      </c>
      <c r="U143" t="s">
        <v>130</v>
      </c>
      <c r="V143" t="s">
        <v>138</v>
      </c>
      <c r="W143">
        <v>0</v>
      </c>
      <c r="X143" t="s">
        <v>139</v>
      </c>
      <c r="Y143">
        <v>203.75</v>
      </c>
      <c r="Z143">
        <v>26487.5</v>
      </c>
      <c r="AC143">
        <v>0</v>
      </c>
    </row>
    <row r="144" spans="1:29">
      <c r="A144" t="s">
        <v>130</v>
      </c>
      <c r="B144" t="s">
        <v>81</v>
      </c>
      <c r="C144" t="s">
        <v>157</v>
      </c>
      <c r="D144" t="s">
        <v>82</v>
      </c>
      <c r="E144" t="s">
        <v>132</v>
      </c>
      <c r="F144" t="s">
        <v>133</v>
      </c>
      <c r="G144">
        <v>65</v>
      </c>
      <c r="H144">
        <v>130</v>
      </c>
      <c r="I144" s="16">
        <v>0.39525462962962965</v>
      </c>
      <c r="J144">
        <v>1210066154</v>
      </c>
      <c r="K144" t="s">
        <v>134</v>
      </c>
      <c r="L144">
        <v>203.75</v>
      </c>
      <c r="M144">
        <v>0</v>
      </c>
      <c r="N144" s="16">
        <v>0.39525462962962965</v>
      </c>
      <c r="O144" t="s">
        <v>140</v>
      </c>
      <c r="P144">
        <v>1600000008133220</v>
      </c>
      <c r="Q144" t="s">
        <v>130</v>
      </c>
      <c r="S144" t="s">
        <v>136</v>
      </c>
      <c r="T144" t="s">
        <v>137</v>
      </c>
      <c r="U144" t="s">
        <v>130</v>
      </c>
      <c r="V144" t="s">
        <v>138</v>
      </c>
      <c r="W144">
        <v>65</v>
      </c>
      <c r="X144" t="s">
        <v>139</v>
      </c>
      <c r="Y144">
        <v>203.75</v>
      </c>
      <c r="Z144">
        <v>13243.75</v>
      </c>
      <c r="AC144">
        <v>0</v>
      </c>
    </row>
    <row r="145" spans="1:29">
      <c r="A145" t="s">
        <v>130</v>
      </c>
      <c r="B145" t="s">
        <v>81</v>
      </c>
      <c r="C145" t="s">
        <v>186</v>
      </c>
      <c r="D145" t="s">
        <v>82</v>
      </c>
      <c r="E145" t="s">
        <v>132</v>
      </c>
      <c r="F145" t="s">
        <v>142</v>
      </c>
      <c r="G145">
        <v>65</v>
      </c>
      <c r="H145">
        <v>195</v>
      </c>
      <c r="I145" s="16">
        <v>0.39226851851851852</v>
      </c>
      <c r="J145">
        <v>1210065713</v>
      </c>
      <c r="K145" t="s">
        <v>134</v>
      </c>
      <c r="L145">
        <v>194.4</v>
      </c>
      <c r="M145">
        <v>0</v>
      </c>
      <c r="N145" s="16">
        <v>0.39226851851851852</v>
      </c>
      <c r="O145" t="s">
        <v>135</v>
      </c>
      <c r="P145">
        <v>1500000006732840</v>
      </c>
      <c r="Q145" t="s">
        <v>130</v>
      </c>
      <c r="S145" t="s">
        <v>136</v>
      </c>
      <c r="T145" t="s">
        <v>137</v>
      </c>
      <c r="U145" t="s">
        <v>130</v>
      </c>
      <c r="V145" t="s">
        <v>138</v>
      </c>
      <c r="W145">
        <v>0</v>
      </c>
      <c r="X145" t="s">
        <v>139</v>
      </c>
      <c r="Y145">
        <v>194.6</v>
      </c>
      <c r="Z145">
        <v>37947</v>
      </c>
      <c r="AC145">
        <v>0</v>
      </c>
    </row>
    <row r="146" spans="1:29">
      <c r="A146" t="s">
        <v>130</v>
      </c>
      <c r="B146" t="s">
        <v>81</v>
      </c>
      <c r="C146" t="s">
        <v>186</v>
      </c>
      <c r="D146" t="s">
        <v>82</v>
      </c>
      <c r="E146" t="s">
        <v>132</v>
      </c>
      <c r="F146" t="s">
        <v>142</v>
      </c>
      <c r="G146">
        <v>65</v>
      </c>
      <c r="H146">
        <v>195</v>
      </c>
      <c r="I146" s="16">
        <v>0.39226851851851852</v>
      </c>
      <c r="J146">
        <v>1210065713</v>
      </c>
      <c r="K146" t="s">
        <v>134</v>
      </c>
      <c r="L146">
        <v>194.4</v>
      </c>
      <c r="M146">
        <v>0</v>
      </c>
      <c r="N146" s="16">
        <v>0.39226851851851852</v>
      </c>
      <c r="O146" t="s">
        <v>140</v>
      </c>
      <c r="P146">
        <v>1500000006732840</v>
      </c>
      <c r="Q146" t="s">
        <v>130</v>
      </c>
      <c r="S146" t="s">
        <v>136</v>
      </c>
      <c r="T146" t="s">
        <v>137</v>
      </c>
      <c r="U146" t="s">
        <v>130</v>
      </c>
      <c r="V146" t="s">
        <v>138</v>
      </c>
      <c r="W146">
        <v>65</v>
      </c>
      <c r="X146" t="s">
        <v>139</v>
      </c>
      <c r="Y146">
        <v>194.63</v>
      </c>
      <c r="Z146">
        <v>25301.25</v>
      </c>
      <c r="AC146">
        <v>0</v>
      </c>
    </row>
    <row r="147" spans="1:29">
      <c r="A147" t="s">
        <v>130</v>
      </c>
      <c r="B147" t="s">
        <v>81</v>
      </c>
      <c r="C147" t="s">
        <v>186</v>
      </c>
      <c r="D147" t="s">
        <v>82</v>
      </c>
      <c r="E147" t="s">
        <v>132</v>
      </c>
      <c r="F147" t="s">
        <v>142</v>
      </c>
      <c r="G147">
        <v>65</v>
      </c>
      <c r="H147">
        <v>195</v>
      </c>
      <c r="I147" s="16">
        <v>0.39226851851851852</v>
      </c>
      <c r="J147">
        <v>1210065713</v>
      </c>
      <c r="K147" t="s">
        <v>134</v>
      </c>
      <c r="L147">
        <v>194.4</v>
      </c>
      <c r="M147">
        <v>0</v>
      </c>
      <c r="N147" s="16">
        <v>0.39226851851851852</v>
      </c>
      <c r="O147" t="s">
        <v>140</v>
      </c>
      <c r="P147">
        <v>1500000006732840</v>
      </c>
      <c r="Q147" t="s">
        <v>130</v>
      </c>
      <c r="S147" t="s">
        <v>136</v>
      </c>
      <c r="T147" t="s">
        <v>137</v>
      </c>
      <c r="U147" t="s">
        <v>130</v>
      </c>
      <c r="V147" t="s">
        <v>138</v>
      </c>
      <c r="W147">
        <v>130</v>
      </c>
      <c r="X147" t="s">
        <v>139</v>
      </c>
      <c r="Y147">
        <v>194.65</v>
      </c>
      <c r="Z147">
        <v>12652.25</v>
      </c>
      <c r="AC147">
        <v>0</v>
      </c>
    </row>
    <row r="148" spans="1:29">
      <c r="A148" t="s">
        <v>130</v>
      </c>
      <c r="B148" t="s">
        <v>81</v>
      </c>
      <c r="C148" t="s">
        <v>147</v>
      </c>
      <c r="D148" t="s">
        <v>82</v>
      </c>
      <c r="E148" t="s">
        <v>132</v>
      </c>
      <c r="F148" t="s">
        <v>133</v>
      </c>
      <c r="G148">
        <v>65</v>
      </c>
      <c r="H148">
        <v>195</v>
      </c>
      <c r="I148" s="16">
        <v>0.39185185185185184</v>
      </c>
      <c r="J148">
        <v>1210065672</v>
      </c>
      <c r="K148" t="s">
        <v>134</v>
      </c>
      <c r="L148">
        <v>83.7</v>
      </c>
      <c r="M148">
        <v>0</v>
      </c>
      <c r="N148" s="16">
        <v>0.39185185185185184</v>
      </c>
      <c r="O148" t="s">
        <v>135</v>
      </c>
      <c r="P148">
        <v>1000000006541600</v>
      </c>
      <c r="Q148" t="s">
        <v>130</v>
      </c>
      <c r="S148" t="s">
        <v>136</v>
      </c>
      <c r="T148" t="s">
        <v>137</v>
      </c>
      <c r="U148" t="s">
        <v>130</v>
      </c>
      <c r="V148" t="s">
        <v>138</v>
      </c>
      <c r="W148">
        <v>0</v>
      </c>
      <c r="X148" t="s">
        <v>139</v>
      </c>
      <c r="Y148">
        <v>83.7</v>
      </c>
      <c r="Z148">
        <v>16321.5</v>
      </c>
      <c r="AC148">
        <v>0</v>
      </c>
    </row>
    <row r="149" spans="1:29">
      <c r="A149" t="s">
        <v>130</v>
      </c>
      <c r="B149" t="s">
        <v>81</v>
      </c>
      <c r="C149" t="s">
        <v>147</v>
      </c>
      <c r="D149" t="s">
        <v>82</v>
      </c>
      <c r="E149" t="s">
        <v>132</v>
      </c>
      <c r="F149" t="s">
        <v>133</v>
      </c>
      <c r="G149">
        <v>65</v>
      </c>
      <c r="H149">
        <v>195</v>
      </c>
      <c r="I149" s="16">
        <v>0.39185185185185184</v>
      </c>
      <c r="J149">
        <v>1210065672</v>
      </c>
      <c r="K149" t="s">
        <v>134</v>
      </c>
      <c r="L149">
        <v>83.7</v>
      </c>
      <c r="M149">
        <v>0</v>
      </c>
      <c r="N149" s="16">
        <v>0.39185185185185184</v>
      </c>
      <c r="O149" t="s">
        <v>140</v>
      </c>
      <c r="P149">
        <v>1000000006541600</v>
      </c>
      <c r="Q149" t="s">
        <v>130</v>
      </c>
      <c r="S149" t="s">
        <v>136</v>
      </c>
      <c r="T149" t="s">
        <v>137</v>
      </c>
      <c r="U149" t="s">
        <v>130</v>
      </c>
      <c r="V149" t="s">
        <v>138</v>
      </c>
      <c r="W149">
        <v>65</v>
      </c>
      <c r="X149" t="s">
        <v>139</v>
      </c>
      <c r="Y149">
        <v>83.7</v>
      </c>
      <c r="Z149">
        <v>10881</v>
      </c>
      <c r="AC149">
        <v>0</v>
      </c>
    </row>
    <row r="150" spans="1:29">
      <c r="A150" t="s">
        <v>130</v>
      </c>
      <c r="B150" t="s">
        <v>81</v>
      </c>
      <c r="C150" t="s">
        <v>147</v>
      </c>
      <c r="D150" t="s">
        <v>82</v>
      </c>
      <c r="E150" t="s">
        <v>132</v>
      </c>
      <c r="F150" t="s">
        <v>133</v>
      </c>
      <c r="G150">
        <v>65</v>
      </c>
      <c r="H150">
        <v>195</v>
      </c>
      <c r="I150" s="16">
        <v>0.39185185185185184</v>
      </c>
      <c r="J150">
        <v>1210065672</v>
      </c>
      <c r="K150" t="s">
        <v>134</v>
      </c>
      <c r="L150">
        <v>83.7</v>
      </c>
      <c r="M150">
        <v>0</v>
      </c>
      <c r="N150" s="16">
        <v>0.39185185185185184</v>
      </c>
      <c r="O150" t="s">
        <v>140</v>
      </c>
      <c r="P150">
        <v>1000000006541600</v>
      </c>
      <c r="Q150" t="s">
        <v>130</v>
      </c>
      <c r="S150" t="s">
        <v>136</v>
      </c>
      <c r="T150" t="s">
        <v>137</v>
      </c>
      <c r="U150" t="s">
        <v>130</v>
      </c>
      <c r="V150" t="s">
        <v>138</v>
      </c>
      <c r="W150">
        <v>130</v>
      </c>
      <c r="X150" t="s">
        <v>139</v>
      </c>
      <c r="Y150">
        <v>83.7</v>
      </c>
      <c r="Z150">
        <v>5440.5</v>
      </c>
      <c r="AC150">
        <v>0</v>
      </c>
    </row>
    <row r="151" spans="1:29">
      <c r="A151" t="s">
        <v>130</v>
      </c>
      <c r="B151" t="s">
        <v>81</v>
      </c>
      <c r="C151" t="s">
        <v>185</v>
      </c>
      <c r="D151" t="s">
        <v>82</v>
      </c>
      <c r="E151" t="s">
        <v>132</v>
      </c>
      <c r="F151" t="s">
        <v>142</v>
      </c>
      <c r="G151">
        <v>65</v>
      </c>
      <c r="H151">
        <v>260</v>
      </c>
      <c r="I151" s="16">
        <v>0.39121527777777776</v>
      </c>
      <c r="J151">
        <v>1210065589</v>
      </c>
      <c r="K151" t="s">
        <v>134</v>
      </c>
      <c r="L151">
        <v>189.8</v>
      </c>
      <c r="M151">
        <v>0</v>
      </c>
      <c r="N151" s="16">
        <v>0.39121527777777776</v>
      </c>
      <c r="O151" t="s">
        <v>135</v>
      </c>
      <c r="P151">
        <v>1400000006741620</v>
      </c>
      <c r="Q151" t="s">
        <v>130</v>
      </c>
      <c r="S151" t="s">
        <v>136</v>
      </c>
      <c r="T151" t="s">
        <v>137</v>
      </c>
      <c r="U151" t="s">
        <v>130</v>
      </c>
      <c r="V151" t="s">
        <v>138</v>
      </c>
      <c r="W151">
        <v>0</v>
      </c>
      <c r="X151" t="s">
        <v>139</v>
      </c>
      <c r="Y151">
        <v>189.99</v>
      </c>
      <c r="Z151">
        <v>49396.75</v>
      </c>
      <c r="AC151">
        <v>0</v>
      </c>
    </row>
    <row r="152" spans="1:29">
      <c r="A152" t="s">
        <v>130</v>
      </c>
      <c r="B152" t="s">
        <v>81</v>
      </c>
      <c r="C152" t="s">
        <v>185</v>
      </c>
      <c r="D152" t="s">
        <v>82</v>
      </c>
      <c r="E152" t="s">
        <v>132</v>
      </c>
      <c r="F152" t="s">
        <v>142</v>
      </c>
      <c r="G152">
        <v>65</v>
      </c>
      <c r="H152">
        <v>260</v>
      </c>
      <c r="I152" s="16">
        <v>0.39121527777777776</v>
      </c>
      <c r="J152">
        <v>1210065589</v>
      </c>
      <c r="K152" t="s">
        <v>134</v>
      </c>
      <c r="L152">
        <v>189.8</v>
      </c>
      <c r="M152">
        <v>0</v>
      </c>
      <c r="N152" s="16">
        <v>0.39121527777777776</v>
      </c>
      <c r="O152" t="s">
        <v>140</v>
      </c>
      <c r="P152">
        <v>1400000006741620</v>
      </c>
      <c r="Q152" t="s">
        <v>130</v>
      </c>
      <c r="S152" t="s">
        <v>136</v>
      </c>
      <c r="T152" t="s">
        <v>137</v>
      </c>
      <c r="U152" t="s">
        <v>130</v>
      </c>
      <c r="V152" t="s">
        <v>138</v>
      </c>
      <c r="W152">
        <v>65</v>
      </c>
      <c r="X152" t="s">
        <v>139</v>
      </c>
      <c r="Y152">
        <v>190</v>
      </c>
      <c r="Z152">
        <v>37050</v>
      </c>
      <c r="AC152">
        <v>0</v>
      </c>
    </row>
    <row r="153" spans="1:29">
      <c r="A153" t="s">
        <v>130</v>
      </c>
      <c r="B153" t="s">
        <v>81</v>
      </c>
      <c r="C153" t="s">
        <v>185</v>
      </c>
      <c r="D153" t="s">
        <v>82</v>
      </c>
      <c r="E153" t="s">
        <v>132</v>
      </c>
      <c r="F153" t="s">
        <v>142</v>
      </c>
      <c r="G153">
        <v>65</v>
      </c>
      <c r="H153">
        <v>260</v>
      </c>
      <c r="I153" s="16">
        <v>0.39121527777777776</v>
      </c>
      <c r="J153">
        <v>1210065589</v>
      </c>
      <c r="K153" t="s">
        <v>134</v>
      </c>
      <c r="L153">
        <v>189.8</v>
      </c>
      <c r="M153">
        <v>0</v>
      </c>
      <c r="N153" s="16">
        <v>0.39121527777777776</v>
      </c>
      <c r="O153" t="s">
        <v>140</v>
      </c>
      <c r="P153">
        <v>1400000006741620</v>
      </c>
      <c r="Q153" t="s">
        <v>130</v>
      </c>
      <c r="S153" t="s">
        <v>136</v>
      </c>
      <c r="T153" t="s">
        <v>137</v>
      </c>
      <c r="U153" t="s">
        <v>130</v>
      </c>
      <c r="V153" t="s">
        <v>138</v>
      </c>
      <c r="W153">
        <v>130</v>
      </c>
      <c r="X153" t="s">
        <v>139</v>
      </c>
      <c r="Y153">
        <v>190.03</v>
      </c>
      <c r="Z153">
        <v>24703.25</v>
      </c>
      <c r="AC153">
        <v>0</v>
      </c>
    </row>
    <row r="154" spans="1:29">
      <c r="A154" t="s">
        <v>130</v>
      </c>
      <c r="B154" t="s">
        <v>81</v>
      </c>
      <c r="C154" t="s">
        <v>185</v>
      </c>
      <c r="D154" t="s">
        <v>82</v>
      </c>
      <c r="E154" t="s">
        <v>132</v>
      </c>
      <c r="F154" t="s">
        <v>142</v>
      </c>
      <c r="G154">
        <v>65</v>
      </c>
      <c r="H154">
        <v>260</v>
      </c>
      <c r="I154" s="16">
        <v>0.39121527777777776</v>
      </c>
      <c r="J154">
        <v>1210065589</v>
      </c>
      <c r="K154" t="s">
        <v>134</v>
      </c>
      <c r="L154">
        <v>189.8</v>
      </c>
      <c r="M154">
        <v>0</v>
      </c>
      <c r="N154" s="16">
        <v>0.39121527777777776</v>
      </c>
      <c r="O154" t="s">
        <v>140</v>
      </c>
      <c r="P154">
        <v>1400000006741620</v>
      </c>
      <c r="Q154" t="s">
        <v>130</v>
      </c>
      <c r="S154" t="s">
        <v>136</v>
      </c>
      <c r="T154" t="s">
        <v>137</v>
      </c>
      <c r="U154" t="s">
        <v>130</v>
      </c>
      <c r="V154" t="s">
        <v>138</v>
      </c>
      <c r="W154">
        <v>195</v>
      </c>
      <c r="X154" t="s">
        <v>139</v>
      </c>
      <c r="Y154">
        <v>190.05</v>
      </c>
      <c r="Z154">
        <v>12353.25</v>
      </c>
      <c r="AC154">
        <v>0</v>
      </c>
    </row>
    <row r="155" spans="1:29">
      <c r="A155" t="s">
        <v>130</v>
      </c>
      <c r="B155" t="s">
        <v>81</v>
      </c>
      <c r="C155" t="s">
        <v>185</v>
      </c>
      <c r="D155" t="s">
        <v>82</v>
      </c>
      <c r="E155" t="s">
        <v>132</v>
      </c>
      <c r="F155" t="s">
        <v>133</v>
      </c>
      <c r="G155">
        <v>130</v>
      </c>
      <c r="H155">
        <v>130</v>
      </c>
      <c r="I155" s="16">
        <v>0.39096064814814813</v>
      </c>
      <c r="J155">
        <v>1210065565</v>
      </c>
      <c r="K155" t="s">
        <v>134</v>
      </c>
      <c r="L155">
        <v>190.9</v>
      </c>
      <c r="M155">
        <v>0</v>
      </c>
      <c r="N155" s="16">
        <v>0.39096064814814813</v>
      </c>
      <c r="O155" t="s">
        <v>135</v>
      </c>
      <c r="P155">
        <v>1400000006521280</v>
      </c>
      <c r="Q155" t="s">
        <v>130</v>
      </c>
      <c r="S155" t="s">
        <v>136</v>
      </c>
      <c r="T155" t="s">
        <v>137</v>
      </c>
      <c r="U155" t="s">
        <v>130</v>
      </c>
      <c r="V155" t="s">
        <v>138</v>
      </c>
      <c r="W155">
        <v>0</v>
      </c>
      <c r="X155" t="s">
        <v>139</v>
      </c>
      <c r="Y155">
        <v>190.9</v>
      </c>
      <c r="Z155">
        <v>24817</v>
      </c>
      <c r="AC155">
        <v>0</v>
      </c>
    </row>
    <row r="156" spans="1:29">
      <c r="A156" t="s">
        <v>130</v>
      </c>
      <c r="B156" t="s">
        <v>81</v>
      </c>
      <c r="C156" t="s">
        <v>156</v>
      </c>
      <c r="D156" t="s">
        <v>82</v>
      </c>
      <c r="E156" t="s">
        <v>132</v>
      </c>
      <c r="F156" t="s">
        <v>133</v>
      </c>
      <c r="G156">
        <v>65</v>
      </c>
      <c r="H156">
        <v>130</v>
      </c>
      <c r="I156" s="16">
        <v>0.39077546296296295</v>
      </c>
      <c r="J156">
        <v>1210065555</v>
      </c>
      <c r="K156" t="s">
        <v>134</v>
      </c>
      <c r="L156">
        <v>202.7</v>
      </c>
      <c r="M156">
        <v>0</v>
      </c>
      <c r="N156" s="16">
        <v>0.39077546296296295</v>
      </c>
      <c r="O156" t="s">
        <v>135</v>
      </c>
      <c r="P156">
        <v>1000000005704920</v>
      </c>
      <c r="Q156" t="s">
        <v>130</v>
      </c>
      <c r="S156" t="s">
        <v>136</v>
      </c>
      <c r="T156" t="s">
        <v>137</v>
      </c>
      <c r="U156" t="s">
        <v>130</v>
      </c>
      <c r="V156" t="s">
        <v>138</v>
      </c>
      <c r="W156">
        <v>0</v>
      </c>
      <c r="X156" t="s">
        <v>139</v>
      </c>
      <c r="Y156">
        <v>202.1</v>
      </c>
      <c r="Z156">
        <v>26273</v>
      </c>
      <c r="AC156">
        <v>0</v>
      </c>
    </row>
    <row r="157" spans="1:29">
      <c r="A157" t="s">
        <v>130</v>
      </c>
      <c r="B157" t="s">
        <v>81</v>
      </c>
      <c r="C157" t="s">
        <v>156</v>
      </c>
      <c r="D157" t="s">
        <v>82</v>
      </c>
      <c r="E157" t="s">
        <v>132</v>
      </c>
      <c r="F157" t="s">
        <v>133</v>
      </c>
      <c r="G157">
        <v>65</v>
      </c>
      <c r="H157">
        <v>130</v>
      </c>
      <c r="I157" s="16">
        <v>0.39077546296296295</v>
      </c>
      <c r="J157">
        <v>1210065555</v>
      </c>
      <c r="K157" t="s">
        <v>134</v>
      </c>
      <c r="L157">
        <v>202.7</v>
      </c>
      <c r="M157">
        <v>0</v>
      </c>
      <c r="N157" s="16">
        <v>0.39077546296296295</v>
      </c>
      <c r="O157" t="s">
        <v>140</v>
      </c>
      <c r="P157">
        <v>1000000005704920</v>
      </c>
      <c r="Q157" t="s">
        <v>130</v>
      </c>
      <c r="S157" t="s">
        <v>136</v>
      </c>
      <c r="T157" t="s">
        <v>137</v>
      </c>
      <c r="U157" t="s">
        <v>130</v>
      </c>
      <c r="V157" t="s">
        <v>138</v>
      </c>
      <c r="W157">
        <v>65</v>
      </c>
      <c r="X157" t="s">
        <v>139</v>
      </c>
      <c r="Y157">
        <v>202.1</v>
      </c>
      <c r="Z157">
        <v>13136.5</v>
      </c>
      <c r="AC157">
        <v>0</v>
      </c>
    </row>
    <row r="158" spans="1:29">
      <c r="A158" t="s">
        <v>130</v>
      </c>
      <c r="B158" t="s">
        <v>81</v>
      </c>
      <c r="C158" t="s">
        <v>184</v>
      </c>
      <c r="D158" t="s">
        <v>82</v>
      </c>
      <c r="E158" t="s">
        <v>132</v>
      </c>
      <c r="F158" t="s">
        <v>133</v>
      </c>
      <c r="G158">
        <v>130</v>
      </c>
      <c r="H158">
        <v>195</v>
      </c>
      <c r="I158" s="16">
        <v>0.38905092592592594</v>
      </c>
      <c r="J158">
        <v>1210065396</v>
      </c>
      <c r="K158" t="s">
        <v>134</v>
      </c>
      <c r="L158">
        <v>21.45</v>
      </c>
      <c r="M158">
        <v>0</v>
      </c>
      <c r="N158" s="16">
        <v>0.38905092592592594</v>
      </c>
      <c r="O158" t="s">
        <v>135</v>
      </c>
      <c r="P158">
        <v>1100000003950440</v>
      </c>
      <c r="Q158" t="s">
        <v>130</v>
      </c>
      <c r="S158" t="s">
        <v>136</v>
      </c>
      <c r="T158" t="s">
        <v>137</v>
      </c>
      <c r="U158" t="s">
        <v>130</v>
      </c>
      <c r="V158" t="s">
        <v>138</v>
      </c>
      <c r="W158">
        <v>0</v>
      </c>
      <c r="X158" t="s">
        <v>139</v>
      </c>
      <c r="Y158">
        <v>21.25</v>
      </c>
      <c r="Z158">
        <v>4143.75</v>
      </c>
      <c r="AC158">
        <v>0</v>
      </c>
    </row>
    <row r="159" spans="1:29">
      <c r="A159" t="s">
        <v>130</v>
      </c>
      <c r="B159" t="s">
        <v>81</v>
      </c>
      <c r="C159" t="s">
        <v>184</v>
      </c>
      <c r="D159" t="s">
        <v>82</v>
      </c>
      <c r="E159" t="s">
        <v>132</v>
      </c>
      <c r="F159" t="s">
        <v>133</v>
      </c>
      <c r="G159">
        <v>65</v>
      </c>
      <c r="H159">
        <v>195</v>
      </c>
      <c r="I159" s="16">
        <v>0.38905092592592594</v>
      </c>
      <c r="J159">
        <v>1210065396</v>
      </c>
      <c r="K159" t="s">
        <v>134</v>
      </c>
      <c r="L159">
        <v>21.45</v>
      </c>
      <c r="M159">
        <v>0</v>
      </c>
      <c r="N159" s="16">
        <v>0.38905092592592594</v>
      </c>
      <c r="O159" t="s">
        <v>140</v>
      </c>
      <c r="P159">
        <v>1100000003950440</v>
      </c>
      <c r="Q159" t="s">
        <v>130</v>
      </c>
      <c r="S159" t="s">
        <v>136</v>
      </c>
      <c r="T159" t="s">
        <v>137</v>
      </c>
      <c r="U159" t="s">
        <v>130</v>
      </c>
      <c r="V159" t="s">
        <v>138</v>
      </c>
      <c r="W159">
        <v>130</v>
      </c>
      <c r="X159" t="s">
        <v>139</v>
      </c>
      <c r="Y159">
        <v>21.25</v>
      </c>
      <c r="Z159">
        <v>1381.25</v>
      </c>
      <c r="AC159">
        <v>0</v>
      </c>
    </row>
    <row r="160" spans="1:29">
      <c r="A160" t="s">
        <v>130</v>
      </c>
      <c r="B160" t="s">
        <v>81</v>
      </c>
      <c r="C160" t="s">
        <v>172</v>
      </c>
      <c r="D160" t="s">
        <v>82</v>
      </c>
      <c r="E160" t="s">
        <v>132</v>
      </c>
      <c r="F160" t="s">
        <v>142</v>
      </c>
      <c r="G160">
        <v>65</v>
      </c>
      <c r="H160">
        <v>520</v>
      </c>
      <c r="I160" s="16">
        <v>0.38883101851851853</v>
      </c>
      <c r="J160">
        <v>1210064376</v>
      </c>
      <c r="K160" t="s">
        <v>134</v>
      </c>
      <c r="L160">
        <v>24.05</v>
      </c>
      <c r="M160">
        <v>0</v>
      </c>
      <c r="N160" s="16">
        <v>0.38883101851851853</v>
      </c>
      <c r="O160" t="s">
        <v>135</v>
      </c>
      <c r="P160">
        <v>1100000003711980</v>
      </c>
      <c r="Q160" t="s">
        <v>130</v>
      </c>
      <c r="S160" t="s">
        <v>136</v>
      </c>
      <c r="T160" t="s">
        <v>137</v>
      </c>
      <c r="U160" t="s">
        <v>130</v>
      </c>
      <c r="V160" t="s">
        <v>138</v>
      </c>
      <c r="W160">
        <v>0</v>
      </c>
      <c r="X160" t="s">
        <v>139</v>
      </c>
      <c r="Y160">
        <v>24.05</v>
      </c>
      <c r="Z160">
        <v>12506</v>
      </c>
      <c r="AC160">
        <v>0</v>
      </c>
    </row>
    <row r="161" spans="1:29">
      <c r="A161" t="s">
        <v>130</v>
      </c>
      <c r="B161" t="s">
        <v>81</v>
      </c>
      <c r="C161" t="s">
        <v>172</v>
      </c>
      <c r="D161" t="s">
        <v>82</v>
      </c>
      <c r="E161" t="s">
        <v>132</v>
      </c>
      <c r="F161" t="s">
        <v>142</v>
      </c>
      <c r="G161">
        <v>325</v>
      </c>
      <c r="H161">
        <v>520</v>
      </c>
      <c r="I161" s="16">
        <v>0.38883101851851853</v>
      </c>
      <c r="J161">
        <v>1210064376</v>
      </c>
      <c r="K161" t="s">
        <v>134</v>
      </c>
      <c r="L161">
        <v>24.05</v>
      </c>
      <c r="M161">
        <v>0</v>
      </c>
      <c r="N161" s="16">
        <v>0.38883101851851853</v>
      </c>
      <c r="O161" t="s">
        <v>140</v>
      </c>
      <c r="P161">
        <v>1100000003711980</v>
      </c>
      <c r="Q161" t="s">
        <v>130</v>
      </c>
      <c r="S161" t="s">
        <v>136</v>
      </c>
      <c r="T161" t="s">
        <v>137</v>
      </c>
      <c r="U161" t="s">
        <v>130</v>
      </c>
      <c r="V161" t="s">
        <v>138</v>
      </c>
      <c r="W161">
        <v>65</v>
      </c>
      <c r="X161" t="s">
        <v>139</v>
      </c>
      <c r="Y161">
        <v>24.05</v>
      </c>
      <c r="Z161">
        <v>10942.75</v>
      </c>
      <c r="AC161">
        <v>0</v>
      </c>
    </row>
    <row r="162" spans="1:29">
      <c r="A162" t="s">
        <v>130</v>
      </c>
      <c r="B162" t="s">
        <v>81</v>
      </c>
      <c r="C162" t="s">
        <v>172</v>
      </c>
      <c r="D162" t="s">
        <v>82</v>
      </c>
      <c r="E162" t="s">
        <v>132</v>
      </c>
      <c r="F162" t="s">
        <v>142</v>
      </c>
      <c r="G162">
        <v>130</v>
      </c>
      <c r="H162">
        <v>520</v>
      </c>
      <c r="I162" s="16">
        <v>0.38883101851851853</v>
      </c>
      <c r="J162">
        <v>1210064376</v>
      </c>
      <c r="K162" t="s">
        <v>134</v>
      </c>
      <c r="L162">
        <v>24.05</v>
      </c>
      <c r="M162">
        <v>0</v>
      </c>
      <c r="N162" s="16">
        <v>0.38883101851851853</v>
      </c>
      <c r="O162" t="s">
        <v>140</v>
      </c>
      <c r="P162">
        <v>1100000003711980</v>
      </c>
      <c r="Q162" t="s">
        <v>130</v>
      </c>
      <c r="S162" t="s">
        <v>136</v>
      </c>
      <c r="T162" t="s">
        <v>137</v>
      </c>
      <c r="U162" t="s">
        <v>130</v>
      </c>
      <c r="V162" t="s">
        <v>138</v>
      </c>
      <c r="W162">
        <v>390</v>
      </c>
      <c r="X162" t="s">
        <v>139</v>
      </c>
      <c r="Y162">
        <v>24.05</v>
      </c>
      <c r="Z162">
        <v>3126.5</v>
      </c>
      <c r="AC162">
        <v>0</v>
      </c>
    </row>
    <row r="163" spans="1:29">
      <c r="A163" t="s">
        <v>130</v>
      </c>
      <c r="B163" t="s">
        <v>81</v>
      </c>
      <c r="C163" t="s">
        <v>174</v>
      </c>
      <c r="D163" t="s">
        <v>82</v>
      </c>
      <c r="E163" t="s">
        <v>132</v>
      </c>
      <c r="F163" t="s">
        <v>142</v>
      </c>
      <c r="G163">
        <v>195</v>
      </c>
      <c r="H163">
        <v>195</v>
      </c>
      <c r="I163" s="16">
        <v>0.38862268518518517</v>
      </c>
      <c r="J163">
        <v>1210061128</v>
      </c>
      <c r="K163" t="s">
        <v>153</v>
      </c>
      <c r="L163">
        <v>0</v>
      </c>
      <c r="M163">
        <v>0</v>
      </c>
      <c r="N163" s="16">
        <v>0.38862268518518517</v>
      </c>
      <c r="O163" t="s">
        <v>135</v>
      </c>
      <c r="P163">
        <v>1200000002938190</v>
      </c>
      <c r="Q163" t="s">
        <v>130</v>
      </c>
      <c r="S163" t="s">
        <v>136</v>
      </c>
      <c r="T163" t="s">
        <v>137</v>
      </c>
      <c r="U163" t="s">
        <v>130</v>
      </c>
      <c r="V163" t="s">
        <v>138</v>
      </c>
      <c r="W163">
        <v>0</v>
      </c>
      <c r="X163" t="s">
        <v>139</v>
      </c>
      <c r="Y163">
        <v>38.950000000000003</v>
      </c>
      <c r="Z163">
        <v>7595.25</v>
      </c>
      <c r="AC163">
        <v>0</v>
      </c>
    </row>
    <row r="164" spans="1:29">
      <c r="A164" t="s">
        <v>130</v>
      </c>
      <c r="B164" t="s">
        <v>81</v>
      </c>
      <c r="C164" t="s">
        <v>184</v>
      </c>
      <c r="D164" t="s">
        <v>82</v>
      </c>
      <c r="E164" t="s">
        <v>132</v>
      </c>
      <c r="F164" t="s">
        <v>133</v>
      </c>
      <c r="G164">
        <v>585</v>
      </c>
      <c r="H164">
        <v>780</v>
      </c>
      <c r="I164" s="16">
        <v>0.38833333333333331</v>
      </c>
      <c r="J164">
        <v>1210064235</v>
      </c>
      <c r="K164" t="s">
        <v>134</v>
      </c>
      <c r="L164">
        <v>21.8</v>
      </c>
      <c r="M164">
        <v>0</v>
      </c>
      <c r="N164" s="16">
        <v>0.38833333333333331</v>
      </c>
      <c r="O164" t="s">
        <v>135</v>
      </c>
      <c r="P164">
        <v>1100000003194710</v>
      </c>
      <c r="Q164" t="s">
        <v>130</v>
      </c>
      <c r="S164" t="s">
        <v>136</v>
      </c>
      <c r="T164" t="s">
        <v>137</v>
      </c>
      <c r="U164" t="s">
        <v>130</v>
      </c>
      <c r="V164" t="s">
        <v>138</v>
      </c>
      <c r="W164">
        <v>0</v>
      </c>
      <c r="X164" t="s">
        <v>139</v>
      </c>
      <c r="Y164">
        <v>21.8</v>
      </c>
      <c r="Z164">
        <v>17004</v>
      </c>
      <c r="AC164">
        <v>0</v>
      </c>
    </row>
    <row r="165" spans="1:29">
      <c r="A165" t="s">
        <v>130</v>
      </c>
      <c r="B165" t="s">
        <v>81</v>
      </c>
      <c r="C165" t="s">
        <v>184</v>
      </c>
      <c r="D165" t="s">
        <v>82</v>
      </c>
      <c r="E165" t="s">
        <v>132</v>
      </c>
      <c r="F165" t="s">
        <v>133</v>
      </c>
      <c r="G165">
        <v>65</v>
      </c>
      <c r="H165">
        <v>780</v>
      </c>
      <c r="I165" s="16">
        <v>0.38832175925925927</v>
      </c>
      <c r="J165">
        <v>1210064235</v>
      </c>
      <c r="K165" t="s">
        <v>134</v>
      </c>
      <c r="L165">
        <v>21.8</v>
      </c>
      <c r="M165">
        <v>0</v>
      </c>
      <c r="N165" s="16">
        <v>0.38832175925925927</v>
      </c>
      <c r="O165" t="s">
        <v>140</v>
      </c>
      <c r="P165">
        <v>1100000003194710</v>
      </c>
      <c r="Q165" t="s">
        <v>130</v>
      </c>
      <c r="S165" t="s">
        <v>136</v>
      </c>
      <c r="T165" t="s">
        <v>137</v>
      </c>
      <c r="U165" t="s">
        <v>130</v>
      </c>
      <c r="V165" t="s">
        <v>138</v>
      </c>
      <c r="W165">
        <v>585</v>
      </c>
      <c r="X165" t="s">
        <v>139</v>
      </c>
      <c r="Y165">
        <v>21.8</v>
      </c>
      <c r="Z165">
        <v>4251</v>
      </c>
      <c r="AC165">
        <v>0</v>
      </c>
    </row>
    <row r="166" spans="1:29">
      <c r="A166" t="s">
        <v>130</v>
      </c>
      <c r="B166" t="s">
        <v>81</v>
      </c>
      <c r="C166" t="s">
        <v>184</v>
      </c>
      <c r="D166" t="s">
        <v>82</v>
      </c>
      <c r="E166" t="s">
        <v>132</v>
      </c>
      <c r="F166" t="s">
        <v>133</v>
      </c>
      <c r="G166">
        <v>130</v>
      </c>
      <c r="H166">
        <v>780</v>
      </c>
      <c r="I166" s="16">
        <v>0.38824074074074072</v>
      </c>
      <c r="J166">
        <v>1210064235</v>
      </c>
      <c r="K166" t="s">
        <v>134</v>
      </c>
      <c r="L166">
        <v>21.8</v>
      </c>
      <c r="M166">
        <v>0</v>
      </c>
      <c r="N166" s="16">
        <v>0.38824074074074072</v>
      </c>
      <c r="O166" t="s">
        <v>140</v>
      </c>
      <c r="P166">
        <v>1100000003194710</v>
      </c>
      <c r="Q166" t="s">
        <v>130</v>
      </c>
      <c r="S166" t="s">
        <v>136</v>
      </c>
      <c r="T166" t="s">
        <v>137</v>
      </c>
      <c r="U166" t="s">
        <v>130</v>
      </c>
      <c r="V166" t="s">
        <v>138</v>
      </c>
      <c r="W166">
        <v>650</v>
      </c>
      <c r="X166" t="s">
        <v>139</v>
      </c>
      <c r="Y166">
        <v>21.8</v>
      </c>
      <c r="Z166">
        <v>2834</v>
      </c>
      <c r="AC166">
        <v>0</v>
      </c>
    </row>
    <row r="167" spans="1:29">
      <c r="A167" t="s">
        <v>130</v>
      </c>
      <c r="B167" t="s">
        <v>81</v>
      </c>
      <c r="C167" t="s">
        <v>172</v>
      </c>
      <c r="D167" t="s">
        <v>82</v>
      </c>
      <c r="E167" t="s">
        <v>132</v>
      </c>
      <c r="F167" t="s">
        <v>142</v>
      </c>
      <c r="G167">
        <v>65</v>
      </c>
      <c r="H167">
        <v>65</v>
      </c>
      <c r="I167" s="16">
        <v>0.38806712962962964</v>
      </c>
      <c r="J167">
        <v>1210062167</v>
      </c>
      <c r="K167" t="s">
        <v>134</v>
      </c>
      <c r="L167">
        <v>26.55</v>
      </c>
      <c r="M167">
        <v>0</v>
      </c>
      <c r="N167" s="16">
        <v>0.38806712962962964</v>
      </c>
      <c r="O167" t="s">
        <v>135</v>
      </c>
      <c r="P167">
        <v>1100000002960460</v>
      </c>
      <c r="Q167" t="s">
        <v>130</v>
      </c>
      <c r="S167" t="s">
        <v>136</v>
      </c>
      <c r="T167" t="s">
        <v>137</v>
      </c>
      <c r="U167" t="s">
        <v>130</v>
      </c>
      <c r="V167" t="s">
        <v>138</v>
      </c>
      <c r="W167">
        <v>0</v>
      </c>
      <c r="X167" t="s">
        <v>139</v>
      </c>
      <c r="Y167">
        <v>26.55</v>
      </c>
      <c r="Z167">
        <v>1725.75</v>
      </c>
      <c r="AC167">
        <v>0</v>
      </c>
    </row>
    <row r="168" spans="1:29">
      <c r="A168" t="s">
        <v>130</v>
      </c>
      <c r="B168" t="s">
        <v>81</v>
      </c>
      <c r="C168" t="s">
        <v>174</v>
      </c>
      <c r="D168" t="s">
        <v>82</v>
      </c>
      <c r="E168" t="s">
        <v>132</v>
      </c>
      <c r="F168" t="s">
        <v>142</v>
      </c>
      <c r="G168">
        <v>65</v>
      </c>
      <c r="H168">
        <v>65</v>
      </c>
      <c r="I168" s="16">
        <v>0.3878935185185185</v>
      </c>
      <c r="J168">
        <v>1210062159</v>
      </c>
      <c r="K168" t="s">
        <v>134</v>
      </c>
      <c r="L168">
        <v>41.6</v>
      </c>
      <c r="M168">
        <v>0</v>
      </c>
      <c r="N168" s="16">
        <v>0.3878935185185185</v>
      </c>
      <c r="O168" t="s">
        <v>135</v>
      </c>
      <c r="P168">
        <v>1200000003025890</v>
      </c>
      <c r="Q168" t="s">
        <v>130</v>
      </c>
      <c r="S168" t="s">
        <v>136</v>
      </c>
      <c r="T168" t="s">
        <v>137</v>
      </c>
      <c r="U168" t="s">
        <v>130</v>
      </c>
      <c r="V168" t="s">
        <v>138</v>
      </c>
      <c r="W168">
        <v>0</v>
      </c>
      <c r="X168" t="s">
        <v>139</v>
      </c>
      <c r="Y168">
        <v>41.6</v>
      </c>
      <c r="Z168">
        <v>2704</v>
      </c>
      <c r="AC168">
        <v>0</v>
      </c>
    </row>
    <row r="169" spans="1:29">
      <c r="A169" t="s">
        <v>130</v>
      </c>
      <c r="B169" t="s">
        <v>81</v>
      </c>
      <c r="C169" t="s">
        <v>174</v>
      </c>
      <c r="D169" t="s">
        <v>82</v>
      </c>
      <c r="E169" t="s">
        <v>132</v>
      </c>
      <c r="F169" t="s">
        <v>142</v>
      </c>
      <c r="G169">
        <v>65</v>
      </c>
      <c r="H169">
        <v>65</v>
      </c>
      <c r="I169" s="16">
        <v>0.38773148148148145</v>
      </c>
      <c r="J169">
        <v>1210061111</v>
      </c>
      <c r="K169" t="s">
        <v>134</v>
      </c>
      <c r="L169">
        <v>42</v>
      </c>
      <c r="M169">
        <v>0</v>
      </c>
      <c r="N169" s="16">
        <v>0.38773148148148145</v>
      </c>
      <c r="O169" t="s">
        <v>135</v>
      </c>
      <c r="P169">
        <v>1200000002881770</v>
      </c>
      <c r="Q169" t="s">
        <v>130</v>
      </c>
      <c r="S169" t="s">
        <v>136</v>
      </c>
      <c r="T169" t="s">
        <v>137</v>
      </c>
      <c r="U169" t="s">
        <v>130</v>
      </c>
      <c r="V169" t="s">
        <v>138</v>
      </c>
      <c r="W169">
        <v>0</v>
      </c>
      <c r="X169" t="s">
        <v>139</v>
      </c>
      <c r="Y169">
        <v>42.4</v>
      </c>
      <c r="Z169">
        <v>2756</v>
      </c>
      <c r="AC169">
        <v>0</v>
      </c>
    </row>
    <row r="170" spans="1:29">
      <c r="A170" t="s">
        <v>130</v>
      </c>
      <c r="B170" t="s">
        <v>81</v>
      </c>
      <c r="C170" t="s">
        <v>174</v>
      </c>
      <c r="D170" t="s">
        <v>82</v>
      </c>
      <c r="E170" t="s">
        <v>132</v>
      </c>
      <c r="F170" t="s">
        <v>142</v>
      </c>
      <c r="G170">
        <v>260</v>
      </c>
      <c r="H170">
        <v>260</v>
      </c>
      <c r="I170" s="16">
        <v>0.38773148148148145</v>
      </c>
      <c r="J170">
        <v>1210061085</v>
      </c>
      <c r="K170" t="s">
        <v>134</v>
      </c>
      <c r="L170">
        <v>42.7</v>
      </c>
      <c r="M170">
        <v>0</v>
      </c>
      <c r="N170" s="16">
        <v>0.38773148148148145</v>
      </c>
      <c r="O170" t="s">
        <v>135</v>
      </c>
      <c r="P170">
        <v>1200000002834500</v>
      </c>
      <c r="Q170" t="s">
        <v>130</v>
      </c>
      <c r="S170" t="s">
        <v>136</v>
      </c>
      <c r="T170" t="s">
        <v>137</v>
      </c>
      <c r="U170" t="s">
        <v>130</v>
      </c>
      <c r="V170" t="s">
        <v>138</v>
      </c>
      <c r="W170">
        <v>0</v>
      </c>
      <c r="X170" t="s">
        <v>139</v>
      </c>
      <c r="Y170">
        <v>42.7</v>
      </c>
      <c r="Z170">
        <v>11102</v>
      </c>
      <c r="AC170">
        <v>0</v>
      </c>
    </row>
    <row r="171" spans="1:29">
      <c r="A171" t="s">
        <v>130</v>
      </c>
      <c r="B171" t="s">
        <v>81</v>
      </c>
      <c r="C171" t="s">
        <v>174</v>
      </c>
      <c r="D171" t="s">
        <v>82</v>
      </c>
      <c r="E171" t="s">
        <v>132</v>
      </c>
      <c r="F171" t="s">
        <v>142</v>
      </c>
      <c r="G171">
        <v>195</v>
      </c>
      <c r="H171">
        <v>260</v>
      </c>
      <c r="I171" s="16">
        <v>0.38763888888888887</v>
      </c>
      <c r="J171">
        <v>1210061064</v>
      </c>
      <c r="K171" t="s">
        <v>134</v>
      </c>
      <c r="L171">
        <v>42.1</v>
      </c>
      <c r="M171">
        <v>0</v>
      </c>
      <c r="N171" s="16">
        <v>0.38763888888888887</v>
      </c>
      <c r="O171" t="s">
        <v>135</v>
      </c>
      <c r="P171">
        <v>1200000002789510</v>
      </c>
      <c r="Q171" t="s">
        <v>130</v>
      </c>
      <c r="S171" t="s">
        <v>136</v>
      </c>
      <c r="T171" t="s">
        <v>137</v>
      </c>
      <c r="U171" t="s">
        <v>130</v>
      </c>
      <c r="V171" t="s">
        <v>138</v>
      </c>
      <c r="W171">
        <v>0</v>
      </c>
      <c r="X171" t="s">
        <v>139</v>
      </c>
      <c r="Y171">
        <v>42.25</v>
      </c>
      <c r="Z171">
        <v>10985</v>
      </c>
      <c r="AC171">
        <v>0</v>
      </c>
    </row>
    <row r="172" spans="1:29">
      <c r="A172" t="s">
        <v>130</v>
      </c>
      <c r="B172" t="s">
        <v>81</v>
      </c>
      <c r="C172" t="s">
        <v>174</v>
      </c>
      <c r="D172" t="s">
        <v>82</v>
      </c>
      <c r="E172" t="s">
        <v>132</v>
      </c>
      <c r="F172" t="s">
        <v>142</v>
      </c>
      <c r="G172">
        <v>65</v>
      </c>
      <c r="H172">
        <v>260</v>
      </c>
      <c r="I172" s="16">
        <v>0.38763888888888887</v>
      </c>
      <c r="J172">
        <v>1210061064</v>
      </c>
      <c r="K172" t="s">
        <v>134</v>
      </c>
      <c r="L172">
        <v>42.1</v>
      </c>
      <c r="M172">
        <v>0</v>
      </c>
      <c r="N172" s="16">
        <v>0.38763888888888887</v>
      </c>
      <c r="O172" t="s">
        <v>140</v>
      </c>
      <c r="P172">
        <v>1200000002789510</v>
      </c>
      <c r="Q172" t="s">
        <v>130</v>
      </c>
      <c r="S172" t="s">
        <v>136</v>
      </c>
      <c r="T172" t="s">
        <v>137</v>
      </c>
      <c r="U172" t="s">
        <v>130</v>
      </c>
      <c r="V172" t="s">
        <v>138</v>
      </c>
      <c r="W172">
        <v>195</v>
      </c>
      <c r="X172" t="s">
        <v>139</v>
      </c>
      <c r="Y172">
        <v>42.25</v>
      </c>
      <c r="Z172">
        <v>2746.25</v>
      </c>
      <c r="AC172">
        <v>0</v>
      </c>
    </row>
    <row r="173" spans="1:29">
      <c r="A173" t="s">
        <v>130</v>
      </c>
      <c r="B173" t="s">
        <v>81</v>
      </c>
      <c r="C173" t="s">
        <v>178</v>
      </c>
      <c r="D173" t="s">
        <v>82</v>
      </c>
      <c r="E173" t="s">
        <v>132</v>
      </c>
      <c r="F173" t="s">
        <v>133</v>
      </c>
      <c r="G173">
        <v>65</v>
      </c>
      <c r="H173">
        <v>65</v>
      </c>
      <c r="I173" s="16">
        <v>0.38738425925925923</v>
      </c>
      <c r="J173">
        <v>1210061028</v>
      </c>
      <c r="K173" t="s">
        <v>134</v>
      </c>
      <c r="L173">
        <v>22.2</v>
      </c>
      <c r="M173">
        <v>0</v>
      </c>
      <c r="N173" s="16">
        <v>0.38738425925925923</v>
      </c>
      <c r="O173" t="s">
        <v>135</v>
      </c>
      <c r="P173">
        <v>1600000002511550</v>
      </c>
      <c r="Q173" t="s">
        <v>130</v>
      </c>
      <c r="S173" t="s">
        <v>136</v>
      </c>
      <c r="T173" t="s">
        <v>137</v>
      </c>
      <c r="U173" t="s">
        <v>130</v>
      </c>
      <c r="V173" t="s">
        <v>138</v>
      </c>
      <c r="W173">
        <v>0</v>
      </c>
      <c r="X173" t="s">
        <v>139</v>
      </c>
      <c r="Y173">
        <v>22.2</v>
      </c>
      <c r="Z173">
        <v>1443</v>
      </c>
      <c r="AC173">
        <v>0</v>
      </c>
    </row>
    <row r="174" spans="1:29">
      <c r="A174" t="s">
        <v>130</v>
      </c>
      <c r="B174" t="s">
        <v>81</v>
      </c>
      <c r="C174" t="s">
        <v>178</v>
      </c>
      <c r="D174" t="s">
        <v>82</v>
      </c>
      <c r="E174" t="s">
        <v>132</v>
      </c>
      <c r="F174" t="s">
        <v>133</v>
      </c>
      <c r="G174">
        <v>130</v>
      </c>
      <c r="H174">
        <v>390</v>
      </c>
      <c r="I174" s="16">
        <v>0.38724537037037038</v>
      </c>
      <c r="J174">
        <v>1210061025</v>
      </c>
      <c r="K174" t="s">
        <v>134</v>
      </c>
      <c r="L174">
        <v>22.35</v>
      </c>
      <c r="M174">
        <v>0</v>
      </c>
      <c r="N174" s="16">
        <v>0.38724537037037038</v>
      </c>
      <c r="O174" t="s">
        <v>135</v>
      </c>
      <c r="P174">
        <v>1600000002397150</v>
      </c>
      <c r="Q174" t="s">
        <v>130</v>
      </c>
      <c r="S174" t="s">
        <v>136</v>
      </c>
      <c r="T174" t="s">
        <v>137</v>
      </c>
      <c r="U174" t="s">
        <v>130</v>
      </c>
      <c r="V174" t="s">
        <v>138</v>
      </c>
      <c r="W174">
        <v>0</v>
      </c>
      <c r="X174" t="s">
        <v>139</v>
      </c>
      <c r="Y174">
        <v>22.35</v>
      </c>
      <c r="Z174">
        <v>8716.5</v>
      </c>
      <c r="AC174">
        <v>0</v>
      </c>
    </row>
    <row r="175" spans="1:29">
      <c r="A175" t="s">
        <v>130</v>
      </c>
      <c r="B175" t="s">
        <v>81</v>
      </c>
      <c r="C175" t="s">
        <v>178</v>
      </c>
      <c r="D175" t="s">
        <v>82</v>
      </c>
      <c r="E175" t="s">
        <v>132</v>
      </c>
      <c r="F175" t="s">
        <v>133</v>
      </c>
      <c r="G175">
        <v>195</v>
      </c>
      <c r="H175">
        <v>390</v>
      </c>
      <c r="I175" s="16">
        <v>0.38724537037037038</v>
      </c>
      <c r="J175">
        <v>1210061025</v>
      </c>
      <c r="K175" t="s">
        <v>134</v>
      </c>
      <c r="L175">
        <v>22.35</v>
      </c>
      <c r="M175">
        <v>0</v>
      </c>
      <c r="N175" s="16">
        <v>0.38724537037037038</v>
      </c>
      <c r="O175" t="s">
        <v>140</v>
      </c>
      <c r="P175">
        <v>1600000002397150</v>
      </c>
      <c r="Q175" t="s">
        <v>130</v>
      </c>
      <c r="S175" t="s">
        <v>136</v>
      </c>
      <c r="T175" t="s">
        <v>137</v>
      </c>
      <c r="U175" t="s">
        <v>130</v>
      </c>
      <c r="V175" t="s">
        <v>138</v>
      </c>
      <c r="W175">
        <v>130</v>
      </c>
      <c r="X175" t="s">
        <v>139</v>
      </c>
      <c r="Y175">
        <v>22.35</v>
      </c>
      <c r="Z175">
        <v>5811</v>
      </c>
      <c r="AC175">
        <v>0</v>
      </c>
    </row>
    <row r="176" spans="1:29">
      <c r="A176" t="s">
        <v>130</v>
      </c>
      <c r="B176" t="s">
        <v>81</v>
      </c>
      <c r="C176" t="s">
        <v>178</v>
      </c>
      <c r="D176" t="s">
        <v>82</v>
      </c>
      <c r="E176" t="s">
        <v>132</v>
      </c>
      <c r="F176" t="s">
        <v>133</v>
      </c>
      <c r="G176">
        <v>65</v>
      </c>
      <c r="H176">
        <v>390</v>
      </c>
      <c r="I176" s="16">
        <v>0.38724537037037038</v>
      </c>
      <c r="J176">
        <v>1210061025</v>
      </c>
      <c r="K176" t="s">
        <v>134</v>
      </c>
      <c r="L176">
        <v>22.35</v>
      </c>
      <c r="M176">
        <v>0</v>
      </c>
      <c r="N176" s="16">
        <v>0.38724537037037038</v>
      </c>
      <c r="O176" t="s">
        <v>140</v>
      </c>
      <c r="P176">
        <v>1600000002397150</v>
      </c>
      <c r="Q176" t="s">
        <v>130</v>
      </c>
      <c r="S176" t="s">
        <v>136</v>
      </c>
      <c r="T176" t="s">
        <v>137</v>
      </c>
      <c r="U176" t="s">
        <v>130</v>
      </c>
      <c r="V176" t="s">
        <v>138</v>
      </c>
      <c r="W176">
        <v>325</v>
      </c>
      <c r="X176" t="s">
        <v>139</v>
      </c>
      <c r="Y176">
        <v>22.35</v>
      </c>
      <c r="Z176">
        <v>1452.75</v>
      </c>
      <c r="AC176">
        <v>0</v>
      </c>
    </row>
    <row r="177" spans="1:29">
      <c r="A177" t="s">
        <v>130</v>
      </c>
      <c r="B177" t="s">
        <v>81</v>
      </c>
      <c r="C177" t="s">
        <v>173</v>
      </c>
      <c r="D177" t="s">
        <v>82</v>
      </c>
      <c r="E177" t="s">
        <v>132</v>
      </c>
      <c r="F177" t="s">
        <v>142</v>
      </c>
      <c r="G177">
        <v>195</v>
      </c>
      <c r="H177">
        <v>195</v>
      </c>
      <c r="I177" s="16">
        <v>0.38693287037037039</v>
      </c>
      <c r="J177">
        <v>1210060947</v>
      </c>
      <c r="K177" t="s">
        <v>134</v>
      </c>
      <c r="L177">
        <v>4.75</v>
      </c>
      <c r="M177">
        <v>0</v>
      </c>
      <c r="N177" s="16">
        <v>0.38693287037037039</v>
      </c>
      <c r="O177" t="s">
        <v>135</v>
      </c>
      <c r="P177">
        <v>1300000002569540</v>
      </c>
      <c r="Q177" t="s">
        <v>130</v>
      </c>
      <c r="S177" t="s">
        <v>136</v>
      </c>
      <c r="T177" t="s">
        <v>137</v>
      </c>
      <c r="U177" t="s">
        <v>130</v>
      </c>
      <c r="V177" t="s">
        <v>138</v>
      </c>
      <c r="W177">
        <v>0</v>
      </c>
      <c r="X177" t="s">
        <v>139</v>
      </c>
      <c r="Y177">
        <v>4.75</v>
      </c>
      <c r="Z177">
        <v>926.25</v>
      </c>
      <c r="AC177">
        <v>0</v>
      </c>
    </row>
    <row r="178" spans="1:29">
      <c r="A178" t="s">
        <v>130</v>
      </c>
      <c r="B178" t="s">
        <v>81</v>
      </c>
      <c r="C178" t="s">
        <v>173</v>
      </c>
      <c r="D178" t="s">
        <v>82</v>
      </c>
      <c r="E178" t="s">
        <v>132</v>
      </c>
      <c r="F178" t="s">
        <v>142</v>
      </c>
      <c r="G178">
        <v>195</v>
      </c>
      <c r="H178">
        <v>195</v>
      </c>
      <c r="I178" s="16">
        <v>0.38689814814814816</v>
      </c>
      <c r="J178">
        <v>1210059941</v>
      </c>
      <c r="K178" t="s">
        <v>134</v>
      </c>
      <c r="L178">
        <v>4.75</v>
      </c>
      <c r="M178">
        <v>0</v>
      </c>
      <c r="N178" s="16">
        <v>0.38689814814814816</v>
      </c>
      <c r="O178" t="s">
        <v>135</v>
      </c>
      <c r="P178">
        <v>1300000002515810</v>
      </c>
      <c r="Q178" t="s">
        <v>130</v>
      </c>
      <c r="S178" t="s">
        <v>136</v>
      </c>
      <c r="T178" t="s">
        <v>137</v>
      </c>
      <c r="U178" t="s">
        <v>130</v>
      </c>
      <c r="V178" t="s">
        <v>138</v>
      </c>
      <c r="W178">
        <v>0</v>
      </c>
      <c r="X178" t="s">
        <v>139</v>
      </c>
      <c r="Y178">
        <v>4.75</v>
      </c>
      <c r="Z178">
        <v>926.25</v>
      </c>
      <c r="AC178">
        <v>0</v>
      </c>
    </row>
    <row r="179" spans="1:29">
      <c r="A179" t="s">
        <v>130</v>
      </c>
      <c r="B179" t="s">
        <v>81</v>
      </c>
      <c r="C179" t="s">
        <v>173</v>
      </c>
      <c r="D179" t="s">
        <v>82</v>
      </c>
      <c r="E179" t="s">
        <v>132</v>
      </c>
      <c r="F179" t="s">
        <v>142</v>
      </c>
      <c r="G179">
        <v>260</v>
      </c>
      <c r="H179">
        <v>260</v>
      </c>
      <c r="I179" s="16">
        <v>0.38686342592592593</v>
      </c>
      <c r="J179">
        <v>1210058936</v>
      </c>
      <c r="K179" t="s">
        <v>134</v>
      </c>
      <c r="L179">
        <v>4.6500000000000004</v>
      </c>
      <c r="M179">
        <v>0</v>
      </c>
      <c r="N179" s="16">
        <v>0.38686342592592593</v>
      </c>
      <c r="O179" t="s">
        <v>135</v>
      </c>
      <c r="P179">
        <v>1300000002473980</v>
      </c>
      <c r="Q179" t="s">
        <v>130</v>
      </c>
      <c r="S179" t="s">
        <v>136</v>
      </c>
      <c r="T179" t="s">
        <v>137</v>
      </c>
      <c r="U179" t="s">
        <v>130</v>
      </c>
      <c r="V179" t="s">
        <v>138</v>
      </c>
      <c r="W179">
        <v>0</v>
      </c>
      <c r="X179" t="s">
        <v>139</v>
      </c>
      <c r="Y179">
        <v>4.75</v>
      </c>
      <c r="Z179">
        <v>1235</v>
      </c>
      <c r="AC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SUMMERY</vt:lpstr>
      <vt:lpstr>06-08-2026</vt:lpstr>
      <vt:lpstr>07-08-2026</vt:lpstr>
      <vt:lpstr>10-08-2026</vt:lpstr>
      <vt:lpstr>11-08-2026</vt:lpstr>
      <vt:lpstr>12-08-2026</vt:lpstr>
      <vt:lpstr>13-08-2026</vt:lpstr>
      <vt:lpstr>14-08-2026</vt:lpstr>
      <vt:lpstr>17-08-2026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RCG</dc:creator>
  <cp:lastModifiedBy>RCG</cp:lastModifiedBy>
  <dcterms:created xsi:type="dcterms:W3CDTF">2025-12-02T03:56:21Z</dcterms:created>
  <dcterms:modified xsi:type="dcterms:W3CDTF">2026-08-18T05:08:28Z</dcterms:modified>
</cp:coreProperties>
</file>