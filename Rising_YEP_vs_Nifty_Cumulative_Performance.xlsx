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RCG\Downloads\"/>
    </mc:Choice>
  </mc:AlternateContent>
  <xr:revisionPtr revIDLastSave="0" documentId="13_ncr:1_{79F1E6AF-4E8C-4EFB-A9EE-177811BB0564}" xr6:coauthVersionLast="47" xr6:coauthVersionMax="47" xr10:uidLastSave="{00000000-0000-0000-0000-000000000000}"/>
  <bookViews>
    <workbookView xWindow="28680" yWindow="-120" windowWidth="29040" windowHeight="15720" tabRatio="500" activeTab="1" xr2:uid="{00000000-000D-0000-FFFF-FFFF00000000}"/>
  </bookViews>
  <sheets>
    <sheet name="Daily Data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9" i="2" l="1"/>
  <c r="E13" i="2" s="1"/>
  <c r="E15" i="2" s="1"/>
  <c r="E8" i="2"/>
  <c r="E14" i="2" s="1"/>
  <c r="E16" i="2" s="1"/>
  <c r="E7" i="2"/>
  <c r="E6" i="2"/>
  <c r="G524" i="1"/>
  <c r="H524" i="1" s="1"/>
  <c r="F524" i="1"/>
  <c r="D524" i="1"/>
  <c r="I524" i="1" s="1"/>
  <c r="C524" i="1"/>
  <c r="I523" i="1"/>
  <c r="G523" i="1"/>
  <c r="H523" i="1" s="1"/>
  <c r="F523" i="1"/>
  <c r="D523" i="1"/>
  <c r="C523" i="1"/>
  <c r="I522" i="1"/>
  <c r="G522" i="1"/>
  <c r="H522" i="1" s="1"/>
  <c r="F522" i="1"/>
  <c r="D522" i="1"/>
  <c r="C522" i="1"/>
  <c r="G521" i="1"/>
  <c r="H521" i="1" s="1"/>
  <c r="F521" i="1"/>
  <c r="D521" i="1"/>
  <c r="I521" i="1" s="1"/>
  <c r="C521" i="1"/>
  <c r="G520" i="1"/>
  <c r="H520" i="1" s="1"/>
  <c r="F520" i="1"/>
  <c r="D520" i="1"/>
  <c r="I520" i="1" s="1"/>
  <c r="C520" i="1"/>
  <c r="I519" i="1"/>
  <c r="G519" i="1"/>
  <c r="H519" i="1" s="1"/>
  <c r="F519" i="1"/>
  <c r="D519" i="1"/>
  <c r="C519" i="1"/>
  <c r="I518" i="1"/>
  <c r="H518" i="1"/>
  <c r="G518" i="1"/>
  <c r="F518" i="1"/>
  <c r="D518" i="1"/>
  <c r="C518" i="1"/>
  <c r="G517" i="1"/>
  <c r="H517" i="1" s="1"/>
  <c r="F517" i="1"/>
  <c r="D517" i="1"/>
  <c r="I517" i="1" s="1"/>
  <c r="C517" i="1"/>
  <c r="G516" i="1"/>
  <c r="H516" i="1" s="1"/>
  <c r="F516" i="1"/>
  <c r="D516" i="1"/>
  <c r="I516" i="1" s="1"/>
  <c r="C516" i="1"/>
  <c r="I515" i="1"/>
  <c r="G515" i="1"/>
  <c r="H515" i="1" s="1"/>
  <c r="F515" i="1"/>
  <c r="D515" i="1"/>
  <c r="C515" i="1"/>
  <c r="I514" i="1"/>
  <c r="H514" i="1"/>
  <c r="G514" i="1"/>
  <c r="F514" i="1"/>
  <c r="D514" i="1"/>
  <c r="C514" i="1"/>
  <c r="G513" i="1"/>
  <c r="H513" i="1" s="1"/>
  <c r="F513" i="1"/>
  <c r="D513" i="1"/>
  <c r="I513" i="1" s="1"/>
  <c r="C513" i="1"/>
  <c r="H512" i="1"/>
  <c r="G512" i="1"/>
  <c r="F512" i="1"/>
  <c r="D512" i="1"/>
  <c r="I512" i="1" s="1"/>
  <c r="C512" i="1"/>
  <c r="I511" i="1"/>
  <c r="G511" i="1"/>
  <c r="H511" i="1" s="1"/>
  <c r="F511" i="1"/>
  <c r="D511" i="1"/>
  <c r="C511" i="1"/>
  <c r="I510" i="1"/>
  <c r="G510" i="1"/>
  <c r="H510" i="1" s="1"/>
  <c r="F510" i="1"/>
  <c r="D510" i="1"/>
  <c r="C510" i="1"/>
  <c r="G509" i="1"/>
  <c r="H509" i="1" s="1"/>
  <c r="F509" i="1"/>
  <c r="D509" i="1"/>
  <c r="I509" i="1" s="1"/>
  <c r="C509" i="1"/>
  <c r="H508" i="1"/>
  <c r="G508" i="1"/>
  <c r="F508" i="1"/>
  <c r="D508" i="1"/>
  <c r="I508" i="1" s="1"/>
  <c r="C508" i="1"/>
  <c r="I507" i="1"/>
  <c r="G507" i="1"/>
  <c r="H507" i="1" s="1"/>
  <c r="F507" i="1"/>
  <c r="D507" i="1"/>
  <c r="C507" i="1"/>
  <c r="I506" i="1"/>
  <c r="H506" i="1"/>
  <c r="G506" i="1"/>
  <c r="F506" i="1"/>
  <c r="D506" i="1"/>
  <c r="C506" i="1"/>
  <c r="G505" i="1"/>
  <c r="H505" i="1" s="1"/>
  <c r="F505" i="1"/>
  <c r="D505" i="1"/>
  <c r="I505" i="1" s="1"/>
  <c r="C505" i="1"/>
  <c r="H504" i="1"/>
  <c r="G504" i="1"/>
  <c r="F504" i="1"/>
  <c r="D504" i="1"/>
  <c r="I504" i="1" s="1"/>
  <c r="C504" i="1"/>
  <c r="I503" i="1"/>
  <c r="G503" i="1"/>
  <c r="H503" i="1" s="1"/>
  <c r="F503" i="1"/>
  <c r="D503" i="1"/>
  <c r="C503" i="1"/>
  <c r="I502" i="1"/>
  <c r="G502" i="1"/>
  <c r="H502" i="1" s="1"/>
  <c r="F502" i="1"/>
  <c r="D502" i="1"/>
  <c r="C502" i="1"/>
  <c r="G501" i="1"/>
  <c r="H501" i="1" s="1"/>
  <c r="F501" i="1"/>
  <c r="D501" i="1"/>
  <c r="I501" i="1" s="1"/>
  <c r="C501" i="1"/>
  <c r="H500" i="1"/>
  <c r="G500" i="1"/>
  <c r="F500" i="1"/>
  <c r="D500" i="1"/>
  <c r="I500" i="1" s="1"/>
  <c r="C500" i="1"/>
  <c r="I499" i="1"/>
  <c r="G499" i="1"/>
  <c r="H499" i="1" s="1"/>
  <c r="F499" i="1"/>
  <c r="D499" i="1"/>
  <c r="C499" i="1"/>
  <c r="I498" i="1"/>
  <c r="G498" i="1"/>
  <c r="H498" i="1" s="1"/>
  <c r="F498" i="1"/>
  <c r="D498" i="1"/>
  <c r="C498" i="1"/>
  <c r="G497" i="1"/>
  <c r="H497" i="1" s="1"/>
  <c r="F497" i="1"/>
  <c r="D497" i="1"/>
  <c r="I497" i="1" s="1"/>
  <c r="C497" i="1"/>
  <c r="H496" i="1"/>
  <c r="G496" i="1"/>
  <c r="F496" i="1"/>
  <c r="D496" i="1"/>
  <c r="I496" i="1" s="1"/>
  <c r="C496" i="1"/>
  <c r="I495" i="1"/>
  <c r="G495" i="1"/>
  <c r="H495" i="1" s="1"/>
  <c r="F495" i="1"/>
  <c r="D495" i="1"/>
  <c r="C495" i="1"/>
  <c r="I494" i="1"/>
  <c r="G494" i="1"/>
  <c r="H494" i="1" s="1"/>
  <c r="F494" i="1"/>
  <c r="D494" i="1"/>
  <c r="C494" i="1"/>
  <c r="G493" i="1"/>
  <c r="H493" i="1" s="1"/>
  <c r="F493" i="1"/>
  <c r="D493" i="1"/>
  <c r="I493" i="1" s="1"/>
  <c r="C493" i="1"/>
  <c r="H492" i="1"/>
  <c r="G492" i="1"/>
  <c r="F492" i="1"/>
  <c r="D492" i="1"/>
  <c r="I492" i="1" s="1"/>
  <c r="C492" i="1"/>
  <c r="I491" i="1"/>
  <c r="G491" i="1"/>
  <c r="H491" i="1" s="1"/>
  <c r="F491" i="1"/>
  <c r="D491" i="1"/>
  <c r="C491" i="1"/>
  <c r="I490" i="1"/>
  <c r="G490" i="1"/>
  <c r="H490" i="1" s="1"/>
  <c r="F490" i="1"/>
  <c r="D490" i="1"/>
  <c r="C490" i="1"/>
  <c r="G489" i="1"/>
  <c r="H489" i="1" s="1"/>
  <c r="F489" i="1"/>
  <c r="D489" i="1"/>
  <c r="I489" i="1" s="1"/>
  <c r="C489" i="1"/>
  <c r="H488" i="1"/>
  <c r="G488" i="1"/>
  <c r="F488" i="1"/>
  <c r="D488" i="1"/>
  <c r="I488" i="1" s="1"/>
  <c r="C488" i="1"/>
  <c r="I487" i="1"/>
  <c r="G487" i="1"/>
  <c r="H487" i="1" s="1"/>
  <c r="F487" i="1"/>
  <c r="D487" i="1"/>
  <c r="C487" i="1"/>
  <c r="I486" i="1"/>
  <c r="H486" i="1"/>
  <c r="G486" i="1"/>
  <c r="F486" i="1"/>
  <c r="D486" i="1"/>
  <c r="C486" i="1"/>
  <c r="H485" i="1"/>
  <c r="G485" i="1"/>
  <c r="F485" i="1"/>
  <c r="D485" i="1"/>
  <c r="I485" i="1" s="1"/>
  <c r="C485" i="1"/>
  <c r="H484" i="1"/>
  <c r="G484" i="1"/>
  <c r="F484" i="1"/>
  <c r="D484" i="1"/>
  <c r="I484" i="1" s="1"/>
  <c r="C484" i="1"/>
  <c r="I483" i="1"/>
  <c r="G483" i="1"/>
  <c r="H483" i="1" s="1"/>
  <c r="F483" i="1"/>
  <c r="D483" i="1"/>
  <c r="C483" i="1"/>
  <c r="I482" i="1"/>
  <c r="H482" i="1"/>
  <c r="G482" i="1"/>
  <c r="F482" i="1"/>
  <c r="D482" i="1"/>
  <c r="C482" i="1"/>
  <c r="G481" i="1"/>
  <c r="H481" i="1" s="1"/>
  <c r="F481" i="1"/>
  <c r="D481" i="1"/>
  <c r="I481" i="1" s="1"/>
  <c r="C481" i="1"/>
  <c r="H480" i="1"/>
  <c r="G480" i="1"/>
  <c r="F480" i="1"/>
  <c r="D480" i="1"/>
  <c r="I480" i="1" s="1"/>
  <c r="C480" i="1"/>
  <c r="I479" i="1"/>
  <c r="G479" i="1"/>
  <c r="H479" i="1" s="1"/>
  <c r="F479" i="1"/>
  <c r="D479" i="1"/>
  <c r="C479" i="1"/>
  <c r="I478" i="1"/>
  <c r="G478" i="1"/>
  <c r="H478" i="1" s="1"/>
  <c r="F478" i="1"/>
  <c r="D478" i="1"/>
  <c r="C478" i="1"/>
  <c r="G477" i="1"/>
  <c r="H477" i="1" s="1"/>
  <c r="F477" i="1"/>
  <c r="D477" i="1"/>
  <c r="I477" i="1" s="1"/>
  <c r="C477" i="1"/>
  <c r="H476" i="1"/>
  <c r="G476" i="1"/>
  <c r="F476" i="1"/>
  <c r="D476" i="1"/>
  <c r="I476" i="1" s="1"/>
  <c r="C476" i="1"/>
  <c r="I475" i="1"/>
  <c r="G475" i="1"/>
  <c r="H475" i="1" s="1"/>
  <c r="F475" i="1"/>
  <c r="D475" i="1"/>
  <c r="C475" i="1"/>
  <c r="I474" i="1"/>
  <c r="H474" i="1"/>
  <c r="G474" i="1"/>
  <c r="F474" i="1"/>
  <c r="D474" i="1"/>
  <c r="C474" i="1"/>
  <c r="G473" i="1"/>
  <c r="H473" i="1" s="1"/>
  <c r="F473" i="1"/>
  <c r="D473" i="1"/>
  <c r="I473" i="1" s="1"/>
  <c r="C473" i="1"/>
  <c r="H472" i="1"/>
  <c r="G472" i="1"/>
  <c r="F472" i="1"/>
  <c r="D472" i="1"/>
  <c r="I472" i="1" s="1"/>
  <c r="C472" i="1"/>
  <c r="I471" i="1"/>
  <c r="G471" i="1"/>
  <c r="H471" i="1" s="1"/>
  <c r="F471" i="1"/>
  <c r="D471" i="1"/>
  <c r="C471" i="1"/>
  <c r="I470" i="1"/>
  <c r="G470" i="1"/>
  <c r="H470" i="1" s="1"/>
  <c r="F470" i="1"/>
  <c r="D470" i="1"/>
  <c r="C470" i="1"/>
  <c r="G469" i="1"/>
  <c r="H469" i="1" s="1"/>
  <c r="F469" i="1"/>
  <c r="D469" i="1"/>
  <c r="I469" i="1" s="1"/>
  <c r="C469" i="1"/>
  <c r="H468" i="1"/>
  <c r="G468" i="1"/>
  <c r="F468" i="1"/>
  <c r="D468" i="1"/>
  <c r="I468" i="1" s="1"/>
  <c r="C468" i="1"/>
  <c r="I467" i="1"/>
  <c r="G467" i="1"/>
  <c r="H467" i="1" s="1"/>
  <c r="F467" i="1"/>
  <c r="D467" i="1"/>
  <c r="C467" i="1"/>
  <c r="I466" i="1"/>
  <c r="G466" i="1"/>
  <c r="H466" i="1" s="1"/>
  <c r="F466" i="1"/>
  <c r="D466" i="1"/>
  <c r="C466" i="1"/>
  <c r="G465" i="1"/>
  <c r="H465" i="1" s="1"/>
  <c r="F465" i="1"/>
  <c r="D465" i="1"/>
  <c r="I465" i="1" s="1"/>
  <c r="C465" i="1"/>
  <c r="H464" i="1"/>
  <c r="G464" i="1"/>
  <c r="F464" i="1"/>
  <c r="D464" i="1"/>
  <c r="I464" i="1" s="1"/>
  <c r="C464" i="1"/>
  <c r="I463" i="1"/>
  <c r="G463" i="1"/>
  <c r="H463" i="1" s="1"/>
  <c r="F463" i="1"/>
  <c r="D463" i="1"/>
  <c r="C463" i="1"/>
  <c r="I462" i="1"/>
  <c r="G462" i="1"/>
  <c r="H462" i="1" s="1"/>
  <c r="F462" i="1"/>
  <c r="D462" i="1"/>
  <c r="C462" i="1"/>
  <c r="G461" i="1"/>
  <c r="H461" i="1" s="1"/>
  <c r="F461" i="1"/>
  <c r="D461" i="1"/>
  <c r="I461" i="1" s="1"/>
  <c r="C461" i="1"/>
  <c r="H460" i="1"/>
  <c r="G460" i="1"/>
  <c r="F460" i="1"/>
  <c r="D460" i="1"/>
  <c r="I460" i="1" s="1"/>
  <c r="C460" i="1"/>
  <c r="I459" i="1"/>
  <c r="G459" i="1"/>
  <c r="H459" i="1" s="1"/>
  <c r="F459" i="1"/>
  <c r="D459" i="1"/>
  <c r="C459" i="1"/>
  <c r="I458" i="1"/>
  <c r="G458" i="1"/>
  <c r="H458" i="1" s="1"/>
  <c r="F458" i="1"/>
  <c r="D458" i="1"/>
  <c r="C458" i="1"/>
  <c r="G457" i="1"/>
  <c r="H457" i="1" s="1"/>
  <c r="F457" i="1"/>
  <c r="D457" i="1"/>
  <c r="I457" i="1" s="1"/>
  <c r="C457" i="1"/>
  <c r="G456" i="1"/>
  <c r="H456" i="1" s="1"/>
  <c r="F456" i="1"/>
  <c r="D456" i="1"/>
  <c r="I456" i="1" s="1"/>
  <c r="C456" i="1"/>
  <c r="I455" i="1"/>
  <c r="G455" i="1"/>
  <c r="H455" i="1" s="1"/>
  <c r="F455" i="1"/>
  <c r="D455" i="1"/>
  <c r="C455" i="1"/>
  <c r="I454" i="1"/>
  <c r="H454" i="1"/>
  <c r="G454" i="1"/>
  <c r="F454" i="1"/>
  <c r="D454" i="1"/>
  <c r="C454" i="1"/>
  <c r="G453" i="1"/>
  <c r="H453" i="1" s="1"/>
  <c r="F453" i="1"/>
  <c r="D453" i="1"/>
  <c r="I453" i="1" s="1"/>
  <c r="C453" i="1"/>
  <c r="H452" i="1"/>
  <c r="G452" i="1"/>
  <c r="F452" i="1"/>
  <c r="D452" i="1"/>
  <c r="I452" i="1" s="1"/>
  <c r="C452" i="1"/>
  <c r="I451" i="1"/>
  <c r="G451" i="1"/>
  <c r="H451" i="1" s="1"/>
  <c r="F451" i="1"/>
  <c r="D451" i="1"/>
  <c r="C451" i="1"/>
  <c r="I450" i="1"/>
  <c r="G450" i="1"/>
  <c r="H450" i="1" s="1"/>
  <c r="F450" i="1"/>
  <c r="D450" i="1"/>
  <c r="C450" i="1"/>
  <c r="G449" i="1"/>
  <c r="H449" i="1" s="1"/>
  <c r="F449" i="1"/>
  <c r="D449" i="1"/>
  <c r="I449" i="1" s="1"/>
  <c r="C449" i="1"/>
  <c r="G448" i="1"/>
  <c r="H448" i="1" s="1"/>
  <c r="F448" i="1"/>
  <c r="D448" i="1"/>
  <c r="I448" i="1" s="1"/>
  <c r="C448" i="1"/>
  <c r="I447" i="1"/>
  <c r="G447" i="1"/>
  <c r="H447" i="1" s="1"/>
  <c r="F447" i="1"/>
  <c r="D447" i="1"/>
  <c r="C447" i="1"/>
  <c r="I446" i="1"/>
  <c r="G446" i="1"/>
  <c r="H446" i="1" s="1"/>
  <c r="F446" i="1"/>
  <c r="D446" i="1"/>
  <c r="C446" i="1"/>
  <c r="H445" i="1"/>
  <c r="G445" i="1"/>
  <c r="F445" i="1"/>
  <c r="D445" i="1"/>
  <c r="I445" i="1" s="1"/>
  <c r="C445" i="1"/>
  <c r="H444" i="1"/>
  <c r="G444" i="1"/>
  <c r="F444" i="1"/>
  <c r="D444" i="1"/>
  <c r="I444" i="1" s="1"/>
  <c r="C444" i="1"/>
  <c r="I443" i="1"/>
  <c r="G443" i="1"/>
  <c r="H443" i="1" s="1"/>
  <c r="F443" i="1"/>
  <c r="D443" i="1"/>
  <c r="C443" i="1"/>
  <c r="I442" i="1"/>
  <c r="H442" i="1"/>
  <c r="G442" i="1"/>
  <c r="F442" i="1"/>
  <c r="D442" i="1"/>
  <c r="C442" i="1"/>
  <c r="G441" i="1"/>
  <c r="H441" i="1" s="1"/>
  <c r="F441" i="1"/>
  <c r="D441" i="1"/>
  <c r="I441" i="1" s="1"/>
  <c r="C441" i="1"/>
  <c r="G440" i="1"/>
  <c r="H440" i="1" s="1"/>
  <c r="F440" i="1"/>
  <c r="D440" i="1"/>
  <c r="I440" i="1" s="1"/>
  <c r="C440" i="1"/>
  <c r="I439" i="1"/>
  <c r="G439" i="1"/>
  <c r="H439" i="1" s="1"/>
  <c r="F439" i="1"/>
  <c r="D439" i="1"/>
  <c r="C439" i="1"/>
  <c r="I438" i="1"/>
  <c r="G438" i="1"/>
  <c r="H438" i="1" s="1"/>
  <c r="F438" i="1"/>
  <c r="D438" i="1"/>
  <c r="C438" i="1"/>
  <c r="G437" i="1"/>
  <c r="H437" i="1" s="1"/>
  <c r="F437" i="1"/>
  <c r="D437" i="1"/>
  <c r="I437" i="1" s="1"/>
  <c r="C437" i="1"/>
  <c r="H436" i="1"/>
  <c r="G436" i="1"/>
  <c r="F436" i="1"/>
  <c r="D436" i="1"/>
  <c r="I436" i="1" s="1"/>
  <c r="C436" i="1"/>
  <c r="I435" i="1"/>
  <c r="G435" i="1"/>
  <c r="H435" i="1" s="1"/>
  <c r="F435" i="1"/>
  <c r="D435" i="1"/>
  <c r="C435" i="1"/>
  <c r="I434" i="1"/>
  <c r="G434" i="1"/>
  <c r="H434" i="1" s="1"/>
  <c r="F434" i="1"/>
  <c r="D434" i="1"/>
  <c r="C434" i="1"/>
  <c r="G433" i="1"/>
  <c r="H433" i="1" s="1"/>
  <c r="F433" i="1"/>
  <c r="D433" i="1"/>
  <c r="I433" i="1" s="1"/>
  <c r="C433" i="1"/>
  <c r="H432" i="1"/>
  <c r="G432" i="1"/>
  <c r="F432" i="1"/>
  <c r="D432" i="1"/>
  <c r="I432" i="1" s="1"/>
  <c r="C432" i="1"/>
  <c r="I431" i="1"/>
  <c r="G431" i="1"/>
  <c r="H431" i="1" s="1"/>
  <c r="F431" i="1"/>
  <c r="D431" i="1"/>
  <c r="C431" i="1"/>
  <c r="I430" i="1"/>
  <c r="G430" i="1"/>
  <c r="H430" i="1" s="1"/>
  <c r="F430" i="1"/>
  <c r="D430" i="1"/>
  <c r="C430" i="1"/>
  <c r="G429" i="1"/>
  <c r="H429" i="1" s="1"/>
  <c r="F429" i="1"/>
  <c r="D429" i="1"/>
  <c r="I429" i="1" s="1"/>
  <c r="C429" i="1"/>
  <c r="H428" i="1"/>
  <c r="G428" i="1"/>
  <c r="F428" i="1"/>
  <c r="D428" i="1"/>
  <c r="I428" i="1" s="1"/>
  <c r="C428" i="1"/>
  <c r="I427" i="1"/>
  <c r="G427" i="1"/>
  <c r="H427" i="1" s="1"/>
  <c r="F427" i="1"/>
  <c r="D427" i="1"/>
  <c r="C427" i="1"/>
  <c r="I426" i="1"/>
  <c r="G426" i="1"/>
  <c r="H426" i="1" s="1"/>
  <c r="F426" i="1"/>
  <c r="D426" i="1"/>
  <c r="C426" i="1"/>
  <c r="H425" i="1"/>
  <c r="G425" i="1"/>
  <c r="F425" i="1"/>
  <c r="D425" i="1"/>
  <c r="I425" i="1" s="1"/>
  <c r="C425" i="1"/>
  <c r="H424" i="1"/>
  <c r="G424" i="1"/>
  <c r="F424" i="1"/>
  <c r="D424" i="1"/>
  <c r="I424" i="1" s="1"/>
  <c r="C424" i="1"/>
  <c r="I423" i="1"/>
  <c r="G423" i="1"/>
  <c r="H423" i="1" s="1"/>
  <c r="F423" i="1"/>
  <c r="D423" i="1"/>
  <c r="C423" i="1"/>
  <c r="I422" i="1"/>
  <c r="H422" i="1"/>
  <c r="G422" i="1"/>
  <c r="F422" i="1"/>
  <c r="D422" i="1"/>
  <c r="C422" i="1"/>
  <c r="G421" i="1"/>
  <c r="H421" i="1" s="1"/>
  <c r="F421" i="1"/>
  <c r="D421" i="1"/>
  <c r="I421" i="1" s="1"/>
  <c r="C421" i="1"/>
  <c r="H420" i="1"/>
  <c r="G420" i="1"/>
  <c r="F420" i="1"/>
  <c r="D420" i="1"/>
  <c r="I420" i="1" s="1"/>
  <c r="C420" i="1"/>
  <c r="I419" i="1"/>
  <c r="G419" i="1"/>
  <c r="H419" i="1" s="1"/>
  <c r="F419" i="1"/>
  <c r="D419" i="1"/>
  <c r="C419" i="1"/>
  <c r="I418" i="1"/>
  <c r="G418" i="1"/>
  <c r="H418" i="1" s="1"/>
  <c r="F418" i="1"/>
  <c r="D418" i="1"/>
  <c r="C418" i="1"/>
  <c r="G417" i="1"/>
  <c r="H417" i="1" s="1"/>
  <c r="F417" i="1"/>
  <c r="D417" i="1"/>
  <c r="I417" i="1" s="1"/>
  <c r="C417" i="1"/>
  <c r="H416" i="1"/>
  <c r="G416" i="1"/>
  <c r="F416" i="1"/>
  <c r="D416" i="1"/>
  <c r="I416" i="1" s="1"/>
  <c r="C416" i="1"/>
  <c r="I415" i="1"/>
  <c r="G415" i="1"/>
  <c r="H415" i="1" s="1"/>
  <c r="F415" i="1"/>
  <c r="D415" i="1"/>
  <c r="C415" i="1"/>
  <c r="I414" i="1"/>
  <c r="G414" i="1"/>
  <c r="H414" i="1" s="1"/>
  <c r="F414" i="1"/>
  <c r="D414" i="1"/>
  <c r="C414" i="1"/>
  <c r="G413" i="1"/>
  <c r="H413" i="1" s="1"/>
  <c r="F413" i="1"/>
  <c r="D413" i="1"/>
  <c r="I413" i="1" s="1"/>
  <c r="C413" i="1"/>
  <c r="H412" i="1"/>
  <c r="G412" i="1"/>
  <c r="F412" i="1"/>
  <c r="D412" i="1"/>
  <c r="I412" i="1" s="1"/>
  <c r="C412" i="1"/>
  <c r="I411" i="1"/>
  <c r="G411" i="1"/>
  <c r="H411" i="1" s="1"/>
  <c r="F411" i="1"/>
  <c r="D411" i="1"/>
  <c r="C411" i="1"/>
  <c r="I410" i="1"/>
  <c r="G410" i="1"/>
  <c r="H410" i="1" s="1"/>
  <c r="F410" i="1"/>
  <c r="D410" i="1"/>
  <c r="C410" i="1"/>
  <c r="G409" i="1"/>
  <c r="H409" i="1" s="1"/>
  <c r="F409" i="1"/>
  <c r="D409" i="1"/>
  <c r="I409" i="1" s="1"/>
  <c r="C409" i="1"/>
  <c r="H408" i="1"/>
  <c r="G408" i="1"/>
  <c r="F408" i="1"/>
  <c r="D408" i="1"/>
  <c r="I408" i="1" s="1"/>
  <c r="C408" i="1"/>
  <c r="I407" i="1"/>
  <c r="G407" i="1"/>
  <c r="H407" i="1" s="1"/>
  <c r="F407" i="1"/>
  <c r="D407" i="1"/>
  <c r="C407" i="1"/>
  <c r="I406" i="1"/>
  <c r="G406" i="1"/>
  <c r="H406" i="1" s="1"/>
  <c r="F406" i="1"/>
  <c r="D406" i="1"/>
  <c r="C406" i="1"/>
  <c r="G405" i="1"/>
  <c r="H405" i="1" s="1"/>
  <c r="F405" i="1"/>
  <c r="D405" i="1"/>
  <c r="I405" i="1" s="1"/>
  <c r="C405" i="1"/>
  <c r="H404" i="1"/>
  <c r="G404" i="1"/>
  <c r="F404" i="1"/>
  <c r="D404" i="1"/>
  <c r="I404" i="1" s="1"/>
  <c r="C404" i="1"/>
  <c r="I403" i="1"/>
  <c r="G403" i="1"/>
  <c r="H403" i="1" s="1"/>
  <c r="F403" i="1"/>
  <c r="D403" i="1"/>
  <c r="C403" i="1"/>
  <c r="I402" i="1"/>
  <c r="G402" i="1"/>
  <c r="H402" i="1" s="1"/>
  <c r="F402" i="1"/>
  <c r="D402" i="1"/>
  <c r="C402" i="1"/>
  <c r="G401" i="1"/>
  <c r="H401" i="1" s="1"/>
  <c r="F401" i="1"/>
  <c r="D401" i="1"/>
  <c r="I401" i="1" s="1"/>
  <c r="C401" i="1"/>
  <c r="G400" i="1"/>
  <c r="H400" i="1" s="1"/>
  <c r="F400" i="1"/>
  <c r="D400" i="1"/>
  <c r="I400" i="1" s="1"/>
  <c r="C400" i="1"/>
  <c r="I399" i="1"/>
  <c r="G399" i="1"/>
  <c r="H399" i="1" s="1"/>
  <c r="F399" i="1"/>
  <c r="D399" i="1"/>
  <c r="C399" i="1"/>
  <c r="I398" i="1"/>
  <c r="H398" i="1"/>
  <c r="G398" i="1"/>
  <c r="F398" i="1"/>
  <c r="D398" i="1"/>
  <c r="C398" i="1"/>
  <c r="G397" i="1"/>
  <c r="H397" i="1" s="1"/>
  <c r="F397" i="1"/>
  <c r="D397" i="1"/>
  <c r="I397" i="1" s="1"/>
  <c r="C397" i="1"/>
  <c r="H396" i="1"/>
  <c r="G396" i="1"/>
  <c r="F396" i="1"/>
  <c r="D396" i="1"/>
  <c r="I396" i="1" s="1"/>
  <c r="C396" i="1"/>
  <c r="I395" i="1"/>
  <c r="G395" i="1"/>
  <c r="H395" i="1" s="1"/>
  <c r="F395" i="1"/>
  <c r="D395" i="1"/>
  <c r="C395" i="1"/>
  <c r="I394" i="1"/>
  <c r="G394" i="1"/>
  <c r="H394" i="1" s="1"/>
  <c r="F394" i="1"/>
  <c r="D394" i="1"/>
  <c r="C394" i="1"/>
  <c r="G393" i="1"/>
  <c r="H393" i="1" s="1"/>
  <c r="F393" i="1"/>
  <c r="D393" i="1"/>
  <c r="I393" i="1" s="1"/>
  <c r="C393" i="1"/>
  <c r="H392" i="1"/>
  <c r="G392" i="1"/>
  <c r="F392" i="1"/>
  <c r="D392" i="1"/>
  <c r="I392" i="1" s="1"/>
  <c r="C392" i="1"/>
  <c r="I391" i="1"/>
  <c r="G391" i="1"/>
  <c r="H391" i="1" s="1"/>
  <c r="F391" i="1"/>
  <c r="D391" i="1"/>
  <c r="C391" i="1"/>
  <c r="I390" i="1"/>
  <c r="G390" i="1"/>
  <c r="H390" i="1" s="1"/>
  <c r="F390" i="1"/>
  <c r="D390" i="1"/>
  <c r="C390" i="1"/>
  <c r="G389" i="1"/>
  <c r="H389" i="1" s="1"/>
  <c r="F389" i="1"/>
  <c r="D389" i="1"/>
  <c r="I389" i="1" s="1"/>
  <c r="C389" i="1"/>
  <c r="H388" i="1"/>
  <c r="G388" i="1"/>
  <c r="F388" i="1"/>
  <c r="D388" i="1"/>
  <c r="I388" i="1" s="1"/>
  <c r="C388" i="1"/>
  <c r="I387" i="1"/>
  <c r="G387" i="1"/>
  <c r="H387" i="1" s="1"/>
  <c r="F387" i="1"/>
  <c r="D387" i="1"/>
  <c r="C387" i="1"/>
  <c r="I386" i="1"/>
  <c r="G386" i="1"/>
  <c r="H386" i="1" s="1"/>
  <c r="F386" i="1"/>
  <c r="D386" i="1"/>
  <c r="C386" i="1"/>
  <c r="G385" i="1"/>
  <c r="H385" i="1" s="1"/>
  <c r="F385" i="1"/>
  <c r="D385" i="1"/>
  <c r="I385" i="1" s="1"/>
  <c r="C385" i="1"/>
  <c r="H384" i="1"/>
  <c r="G384" i="1"/>
  <c r="F384" i="1"/>
  <c r="D384" i="1"/>
  <c r="I384" i="1" s="1"/>
  <c r="C384" i="1"/>
  <c r="I383" i="1"/>
  <c r="G383" i="1"/>
  <c r="H383" i="1" s="1"/>
  <c r="F383" i="1"/>
  <c r="D383" i="1"/>
  <c r="C383" i="1"/>
  <c r="I382" i="1"/>
  <c r="G382" i="1"/>
  <c r="H382" i="1" s="1"/>
  <c r="F382" i="1"/>
  <c r="D382" i="1"/>
  <c r="C382" i="1"/>
  <c r="G381" i="1"/>
  <c r="H381" i="1" s="1"/>
  <c r="F381" i="1"/>
  <c r="D381" i="1"/>
  <c r="I381" i="1" s="1"/>
  <c r="C381" i="1"/>
  <c r="H380" i="1"/>
  <c r="G380" i="1"/>
  <c r="F380" i="1"/>
  <c r="D380" i="1"/>
  <c r="I380" i="1" s="1"/>
  <c r="C380" i="1"/>
  <c r="I379" i="1"/>
  <c r="G379" i="1"/>
  <c r="H379" i="1" s="1"/>
  <c r="F379" i="1"/>
  <c r="D379" i="1"/>
  <c r="C379" i="1"/>
  <c r="I378" i="1"/>
  <c r="G378" i="1"/>
  <c r="H378" i="1" s="1"/>
  <c r="F378" i="1"/>
  <c r="D378" i="1"/>
  <c r="C378" i="1"/>
  <c r="G377" i="1"/>
  <c r="H377" i="1" s="1"/>
  <c r="F377" i="1"/>
  <c r="D377" i="1"/>
  <c r="I377" i="1" s="1"/>
  <c r="C377" i="1"/>
  <c r="H376" i="1"/>
  <c r="G376" i="1"/>
  <c r="F376" i="1"/>
  <c r="D376" i="1"/>
  <c r="I376" i="1" s="1"/>
  <c r="C376" i="1"/>
  <c r="I375" i="1"/>
  <c r="G375" i="1"/>
  <c r="H375" i="1" s="1"/>
  <c r="F375" i="1"/>
  <c r="D375" i="1"/>
  <c r="C375" i="1"/>
  <c r="I374" i="1"/>
  <c r="G374" i="1"/>
  <c r="H374" i="1" s="1"/>
  <c r="F374" i="1"/>
  <c r="D374" i="1"/>
  <c r="C374" i="1"/>
  <c r="H373" i="1"/>
  <c r="G373" i="1"/>
  <c r="F373" i="1"/>
  <c r="D373" i="1"/>
  <c r="I373" i="1" s="1"/>
  <c r="C373" i="1"/>
  <c r="H372" i="1"/>
  <c r="G372" i="1"/>
  <c r="F372" i="1"/>
  <c r="D372" i="1"/>
  <c r="I372" i="1" s="1"/>
  <c r="C372" i="1"/>
  <c r="I371" i="1"/>
  <c r="G371" i="1"/>
  <c r="H371" i="1" s="1"/>
  <c r="F371" i="1"/>
  <c r="D371" i="1"/>
  <c r="C371" i="1"/>
  <c r="I370" i="1"/>
  <c r="H370" i="1"/>
  <c r="G370" i="1"/>
  <c r="F370" i="1"/>
  <c r="D370" i="1"/>
  <c r="C370" i="1"/>
  <c r="H369" i="1"/>
  <c r="G369" i="1"/>
  <c r="F369" i="1"/>
  <c r="D369" i="1"/>
  <c r="I369" i="1" s="1"/>
  <c r="C369" i="1"/>
  <c r="H368" i="1"/>
  <c r="G368" i="1"/>
  <c r="F368" i="1"/>
  <c r="D368" i="1"/>
  <c r="I368" i="1" s="1"/>
  <c r="C368" i="1"/>
  <c r="I367" i="1"/>
  <c r="G367" i="1"/>
  <c r="H367" i="1" s="1"/>
  <c r="F367" i="1"/>
  <c r="D367" i="1"/>
  <c r="C367" i="1"/>
  <c r="I366" i="1"/>
  <c r="H366" i="1"/>
  <c r="G366" i="1"/>
  <c r="F366" i="1"/>
  <c r="D366" i="1"/>
  <c r="C366" i="1"/>
  <c r="G365" i="1"/>
  <c r="H365" i="1" s="1"/>
  <c r="F365" i="1"/>
  <c r="D365" i="1"/>
  <c r="I365" i="1" s="1"/>
  <c r="C365" i="1"/>
  <c r="H364" i="1"/>
  <c r="G364" i="1"/>
  <c r="F364" i="1"/>
  <c r="D364" i="1"/>
  <c r="I364" i="1" s="1"/>
  <c r="C364" i="1"/>
  <c r="I363" i="1"/>
  <c r="G363" i="1"/>
  <c r="H363" i="1" s="1"/>
  <c r="F363" i="1"/>
  <c r="D363" i="1"/>
  <c r="C363" i="1"/>
  <c r="I362" i="1"/>
  <c r="H362" i="1"/>
  <c r="G362" i="1"/>
  <c r="F362" i="1"/>
  <c r="D362" i="1"/>
  <c r="C362" i="1"/>
  <c r="G361" i="1"/>
  <c r="H361" i="1" s="1"/>
  <c r="F361" i="1"/>
  <c r="D361" i="1"/>
  <c r="I361" i="1" s="1"/>
  <c r="C361" i="1"/>
  <c r="H360" i="1"/>
  <c r="G360" i="1"/>
  <c r="F360" i="1"/>
  <c r="D360" i="1"/>
  <c r="I360" i="1" s="1"/>
  <c r="C360" i="1"/>
  <c r="I359" i="1"/>
  <c r="G359" i="1"/>
  <c r="H359" i="1" s="1"/>
  <c r="F359" i="1"/>
  <c r="D359" i="1"/>
  <c r="C359" i="1"/>
  <c r="I358" i="1"/>
  <c r="G358" i="1"/>
  <c r="H358" i="1" s="1"/>
  <c r="F358" i="1"/>
  <c r="D358" i="1"/>
  <c r="C358" i="1"/>
  <c r="G357" i="1"/>
  <c r="H357" i="1" s="1"/>
  <c r="F357" i="1"/>
  <c r="D357" i="1"/>
  <c r="I357" i="1" s="1"/>
  <c r="C357" i="1"/>
  <c r="H356" i="1"/>
  <c r="G356" i="1"/>
  <c r="F356" i="1"/>
  <c r="D356" i="1"/>
  <c r="I356" i="1" s="1"/>
  <c r="C356" i="1"/>
  <c r="I355" i="1"/>
  <c r="G355" i="1"/>
  <c r="H355" i="1" s="1"/>
  <c r="F355" i="1"/>
  <c r="D355" i="1"/>
  <c r="C355" i="1"/>
  <c r="I354" i="1"/>
  <c r="G354" i="1"/>
  <c r="H354" i="1" s="1"/>
  <c r="F354" i="1"/>
  <c r="D354" i="1"/>
  <c r="C354" i="1"/>
  <c r="G353" i="1"/>
  <c r="H353" i="1" s="1"/>
  <c r="F353" i="1"/>
  <c r="D353" i="1"/>
  <c r="I353" i="1" s="1"/>
  <c r="C353" i="1"/>
  <c r="H352" i="1"/>
  <c r="G352" i="1"/>
  <c r="F352" i="1"/>
  <c r="D352" i="1"/>
  <c r="I352" i="1" s="1"/>
  <c r="C352" i="1"/>
  <c r="I351" i="1"/>
  <c r="G351" i="1"/>
  <c r="H351" i="1" s="1"/>
  <c r="F351" i="1"/>
  <c r="D351" i="1"/>
  <c r="C351" i="1"/>
  <c r="I350" i="1"/>
  <c r="G350" i="1"/>
  <c r="H350" i="1" s="1"/>
  <c r="F350" i="1"/>
  <c r="D350" i="1"/>
  <c r="C350" i="1"/>
  <c r="G349" i="1"/>
  <c r="H349" i="1" s="1"/>
  <c r="F349" i="1"/>
  <c r="D349" i="1"/>
  <c r="I349" i="1" s="1"/>
  <c r="C349" i="1"/>
  <c r="H348" i="1"/>
  <c r="G348" i="1"/>
  <c r="F348" i="1"/>
  <c r="D348" i="1"/>
  <c r="I348" i="1" s="1"/>
  <c r="C348" i="1"/>
  <c r="I347" i="1"/>
  <c r="G347" i="1"/>
  <c r="H347" i="1" s="1"/>
  <c r="F347" i="1"/>
  <c r="D347" i="1"/>
  <c r="C347" i="1"/>
  <c r="I346" i="1"/>
  <c r="G346" i="1"/>
  <c r="H346" i="1" s="1"/>
  <c r="F346" i="1"/>
  <c r="D346" i="1"/>
  <c r="C346" i="1"/>
  <c r="G345" i="1"/>
  <c r="H345" i="1" s="1"/>
  <c r="F345" i="1"/>
  <c r="D345" i="1"/>
  <c r="I345" i="1" s="1"/>
  <c r="C345" i="1"/>
  <c r="H344" i="1"/>
  <c r="G344" i="1"/>
  <c r="F344" i="1"/>
  <c r="D344" i="1"/>
  <c r="I344" i="1" s="1"/>
  <c r="C344" i="1"/>
  <c r="I343" i="1"/>
  <c r="G343" i="1"/>
  <c r="H343" i="1" s="1"/>
  <c r="F343" i="1"/>
  <c r="D343" i="1"/>
  <c r="C343" i="1"/>
  <c r="I342" i="1"/>
  <c r="G342" i="1"/>
  <c r="H342" i="1" s="1"/>
  <c r="F342" i="1"/>
  <c r="D342" i="1"/>
  <c r="C342" i="1"/>
  <c r="H341" i="1"/>
  <c r="G341" i="1"/>
  <c r="F341" i="1"/>
  <c r="D341" i="1"/>
  <c r="I341" i="1" s="1"/>
  <c r="C341" i="1"/>
  <c r="H340" i="1"/>
  <c r="G340" i="1"/>
  <c r="F340" i="1"/>
  <c r="D340" i="1"/>
  <c r="I340" i="1" s="1"/>
  <c r="C340" i="1"/>
  <c r="I339" i="1"/>
  <c r="G339" i="1"/>
  <c r="H339" i="1" s="1"/>
  <c r="F339" i="1"/>
  <c r="D339" i="1"/>
  <c r="C339" i="1"/>
  <c r="I338" i="1"/>
  <c r="H338" i="1"/>
  <c r="G338" i="1"/>
  <c r="F338" i="1"/>
  <c r="D338" i="1"/>
  <c r="C338" i="1"/>
  <c r="G337" i="1"/>
  <c r="H337" i="1" s="1"/>
  <c r="F337" i="1"/>
  <c r="D337" i="1"/>
  <c r="I337" i="1" s="1"/>
  <c r="C337" i="1"/>
  <c r="H336" i="1"/>
  <c r="G336" i="1"/>
  <c r="F336" i="1"/>
  <c r="D336" i="1"/>
  <c r="I336" i="1" s="1"/>
  <c r="C336" i="1"/>
  <c r="I335" i="1"/>
  <c r="G335" i="1"/>
  <c r="H335" i="1" s="1"/>
  <c r="F335" i="1"/>
  <c r="D335" i="1"/>
  <c r="C335" i="1"/>
  <c r="I334" i="1"/>
  <c r="H334" i="1"/>
  <c r="G334" i="1"/>
  <c r="F334" i="1"/>
  <c r="D334" i="1"/>
  <c r="C334" i="1"/>
  <c r="G333" i="1"/>
  <c r="H333" i="1" s="1"/>
  <c r="F333" i="1"/>
  <c r="D333" i="1"/>
  <c r="I333" i="1" s="1"/>
  <c r="C333" i="1"/>
  <c r="H332" i="1"/>
  <c r="G332" i="1"/>
  <c r="F332" i="1"/>
  <c r="D332" i="1"/>
  <c r="I332" i="1" s="1"/>
  <c r="C332" i="1"/>
  <c r="I331" i="1"/>
  <c r="G331" i="1"/>
  <c r="H331" i="1" s="1"/>
  <c r="F331" i="1"/>
  <c r="D331" i="1"/>
  <c r="C331" i="1"/>
  <c r="I330" i="1"/>
  <c r="G330" i="1"/>
  <c r="H330" i="1" s="1"/>
  <c r="F330" i="1"/>
  <c r="D330" i="1"/>
  <c r="C330" i="1"/>
  <c r="G329" i="1"/>
  <c r="H329" i="1" s="1"/>
  <c r="F329" i="1"/>
  <c r="D329" i="1"/>
  <c r="I329" i="1" s="1"/>
  <c r="C329" i="1"/>
  <c r="H328" i="1"/>
  <c r="G328" i="1"/>
  <c r="F328" i="1"/>
  <c r="D328" i="1"/>
  <c r="I328" i="1" s="1"/>
  <c r="C328" i="1"/>
  <c r="I327" i="1"/>
  <c r="G327" i="1"/>
  <c r="H327" i="1" s="1"/>
  <c r="F327" i="1"/>
  <c r="D327" i="1"/>
  <c r="C327" i="1"/>
  <c r="I326" i="1"/>
  <c r="G326" i="1"/>
  <c r="H326" i="1" s="1"/>
  <c r="F326" i="1"/>
  <c r="D326" i="1"/>
  <c r="C326" i="1"/>
  <c r="G325" i="1"/>
  <c r="H325" i="1" s="1"/>
  <c r="F325" i="1"/>
  <c r="D325" i="1"/>
  <c r="I325" i="1" s="1"/>
  <c r="C325" i="1"/>
  <c r="H324" i="1"/>
  <c r="G324" i="1"/>
  <c r="F324" i="1"/>
  <c r="D324" i="1"/>
  <c r="I324" i="1" s="1"/>
  <c r="C324" i="1"/>
  <c r="I323" i="1"/>
  <c r="G323" i="1"/>
  <c r="H323" i="1" s="1"/>
  <c r="F323" i="1"/>
  <c r="D323" i="1"/>
  <c r="C323" i="1"/>
  <c r="I322" i="1"/>
  <c r="G322" i="1"/>
  <c r="H322" i="1" s="1"/>
  <c r="F322" i="1"/>
  <c r="D322" i="1"/>
  <c r="C322" i="1"/>
  <c r="G321" i="1"/>
  <c r="H321" i="1" s="1"/>
  <c r="F321" i="1"/>
  <c r="D321" i="1"/>
  <c r="I321" i="1" s="1"/>
  <c r="C321" i="1"/>
  <c r="H320" i="1"/>
  <c r="G320" i="1"/>
  <c r="F320" i="1"/>
  <c r="D320" i="1"/>
  <c r="I320" i="1" s="1"/>
  <c r="C320" i="1"/>
  <c r="I319" i="1"/>
  <c r="G319" i="1"/>
  <c r="H319" i="1" s="1"/>
  <c r="F319" i="1"/>
  <c r="D319" i="1"/>
  <c r="C319" i="1"/>
  <c r="I318" i="1"/>
  <c r="G318" i="1"/>
  <c r="H318" i="1" s="1"/>
  <c r="F318" i="1"/>
  <c r="D318" i="1"/>
  <c r="C318" i="1"/>
  <c r="G317" i="1"/>
  <c r="H317" i="1" s="1"/>
  <c r="F317" i="1"/>
  <c r="D317" i="1"/>
  <c r="I317" i="1" s="1"/>
  <c r="C317" i="1"/>
  <c r="H316" i="1"/>
  <c r="G316" i="1"/>
  <c r="F316" i="1"/>
  <c r="D316" i="1"/>
  <c r="I316" i="1" s="1"/>
  <c r="C316" i="1"/>
  <c r="I315" i="1"/>
  <c r="G315" i="1"/>
  <c r="H315" i="1" s="1"/>
  <c r="F315" i="1"/>
  <c r="D315" i="1"/>
  <c r="C315" i="1"/>
  <c r="I314" i="1"/>
  <c r="G314" i="1"/>
  <c r="H314" i="1" s="1"/>
  <c r="F314" i="1"/>
  <c r="D314" i="1"/>
  <c r="C314" i="1"/>
  <c r="G313" i="1"/>
  <c r="H313" i="1" s="1"/>
  <c r="F313" i="1"/>
  <c r="D313" i="1"/>
  <c r="I313" i="1" s="1"/>
  <c r="C313" i="1"/>
  <c r="H312" i="1"/>
  <c r="G312" i="1"/>
  <c r="F312" i="1"/>
  <c r="D312" i="1"/>
  <c r="I312" i="1" s="1"/>
  <c r="C312" i="1"/>
  <c r="I311" i="1"/>
  <c r="G311" i="1"/>
  <c r="H311" i="1" s="1"/>
  <c r="F311" i="1"/>
  <c r="D311" i="1"/>
  <c r="C311" i="1"/>
  <c r="I310" i="1"/>
  <c r="G310" i="1"/>
  <c r="H310" i="1" s="1"/>
  <c r="F310" i="1"/>
  <c r="D310" i="1"/>
  <c r="C310" i="1"/>
  <c r="H309" i="1"/>
  <c r="G309" i="1"/>
  <c r="F309" i="1"/>
  <c r="D309" i="1"/>
  <c r="I309" i="1" s="1"/>
  <c r="C309" i="1"/>
  <c r="H308" i="1"/>
  <c r="G308" i="1"/>
  <c r="F308" i="1"/>
  <c r="D308" i="1"/>
  <c r="I308" i="1" s="1"/>
  <c r="C308" i="1"/>
  <c r="I307" i="1"/>
  <c r="G307" i="1"/>
  <c r="H307" i="1" s="1"/>
  <c r="F307" i="1"/>
  <c r="D307" i="1"/>
  <c r="C307" i="1"/>
  <c r="I306" i="1"/>
  <c r="H306" i="1"/>
  <c r="G306" i="1"/>
  <c r="F306" i="1"/>
  <c r="D306" i="1"/>
  <c r="C306" i="1"/>
  <c r="H305" i="1"/>
  <c r="G305" i="1"/>
  <c r="F305" i="1"/>
  <c r="D305" i="1"/>
  <c r="I305" i="1" s="1"/>
  <c r="C305" i="1"/>
  <c r="H304" i="1"/>
  <c r="G304" i="1"/>
  <c r="F304" i="1"/>
  <c r="D304" i="1"/>
  <c r="I304" i="1" s="1"/>
  <c r="C304" i="1"/>
  <c r="I303" i="1"/>
  <c r="G303" i="1"/>
  <c r="H303" i="1" s="1"/>
  <c r="F303" i="1"/>
  <c r="D303" i="1"/>
  <c r="C303" i="1"/>
  <c r="I302" i="1"/>
  <c r="H302" i="1"/>
  <c r="G302" i="1"/>
  <c r="F302" i="1"/>
  <c r="D302" i="1"/>
  <c r="C302" i="1"/>
  <c r="G301" i="1"/>
  <c r="H301" i="1" s="1"/>
  <c r="F301" i="1"/>
  <c r="D301" i="1"/>
  <c r="I301" i="1" s="1"/>
  <c r="C301" i="1"/>
  <c r="H300" i="1"/>
  <c r="G300" i="1"/>
  <c r="F300" i="1"/>
  <c r="D300" i="1"/>
  <c r="I300" i="1" s="1"/>
  <c r="C300" i="1"/>
  <c r="I299" i="1"/>
  <c r="G299" i="1"/>
  <c r="H299" i="1" s="1"/>
  <c r="F299" i="1"/>
  <c r="D299" i="1"/>
  <c r="C299" i="1"/>
  <c r="I298" i="1"/>
  <c r="G298" i="1"/>
  <c r="H298" i="1" s="1"/>
  <c r="F298" i="1"/>
  <c r="D298" i="1"/>
  <c r="C298" i="1"/>
  <c r="G297" i="1"/>
  <c r="H297" i="1" s="1"/>
  <c r="F297" i="1"/>
  <c r="D297" i="1"/>
  <c r="I297" i="1" s="1"/>
  <c r="C297" i="1"/>
  <c r="H296" i="1"/>
  <c r="G296" i="1"/>
  <c r="F296" i="1"/>
  <c r="D296" i="1"/>
  <c r="I296" i="1" s="1"/>
  <c r="C296" i="1"/>
  <c r="I295" i="1"/>
  <c r="G295" i="1"/>
  <c r="H295" i="1" s="1"/>
  <c r="F295" i="1"/>
  <c r="D295" i="1"/>
  <c r="C295" i="1"/>
  <c r="I294" i="1"/>
  <c r="G294" i="1"/>
  <c r="H294" i="1" s="1"/>
  <c r="F294" i="1"/>
  <c r="D294" i="1"/>
  <c r="C294" i="1"/>
  <c r="G293" i="1"/>
  <c r="H293" i="1" s="1"/>
  <c r="F293" i="1"/>
  <c r="D293" i="1"/>
  <c r="I293" i="1" s="1"/>
  <c r="C293" i="1"/>
  <c r="H292" i="1"/>
  <c r="G292" i="1"/>
  <c r="F292" i="1"/>
  <c r="D292" i="1"/>
  <c r="I292" i="1" s="1"/>
  <c r="C292" i="1"/>
  <c r="I291" i="1"/>
  <c r="G291" i="1"/>
  <c r="H291" i="1" s="1"/>
  <c r="F291" i="1"/>
  <c r="D291" i="1"/>
  <c r="C291" i="1"/>
  <c r="I290" i="1"/>
  <c r="G290" i="1"/>
  <c r="H290" i="1" s="1"/>
  <c r="F290" i="1"/>
  <c r="D290" i="1"/>
  <c r="C290" i="1"/>
  <c r="G289" i="1"/>
  <c r="H289" i="1" s="1"/>
  <c r="F289" i="1"/>
  <c r="D289" i="1"/>
  <c r="I289" i="1" s="1"/>
  <c r="C289" i="1"/>
  <c r="H288" i="1"/>
  <c r="G288" i="1"/>
  <c r="F288" i="1"/>
  <c r="D288" i="1"/>
  <c r="I288" i="1" s="1"/>
  <c r="C288" i="1"/>
  <c r="I287" i="1"/>
  <c r="G287" i="1"/>
  <c r="H287" i="1" s="1"/>
  <c r="F287" i="1"/>
  <c r="D287" i="1"/>
  <c r="C287" i="1"/>
  <c r="I286" i="1"/>
  <c r="G286" i="1"/>
  <c r="H286" i="1" s="1"/>
  <c r="F286" i="1"/>
  <c r="D286" i="1"/>
  <c r="C286" i="1"/>
  <c r="G285" i="1"/>
  <c r="H285" i="1" s="1"/>
  <c r="F285" i="1"/>
  <c r="D285" i="1"/>
  <c r="I285" i="1" s="1"/>
  <c r="C285" i="1"/>
  <c r="H284" i="1"/>
  <c r="G284" i="1"/>
  <c r="F284" i="1"/>
  <c r="D284" i="1"/>
  <c r="I284" i="1" s="1"/>
  <c r="C284" i="1"/>
  <c r="I283" i="1"/>
  <c r="G283" i="1"/>
  <c r="H283" i="1" s="1"/>
  <c r="F283" i="1"/>
  <c r="D283" i="1"/>
  <c r="C283" i="1"/>
  <c r="G282" i="1"/>
  <c r="H282" i="1" s="1"/>
  <c r="F282" i="1"/>
  <c r="D282" i="1"/>
  <c r="I282" i="1" s="1"/>
  <c r="C282" i="1"/>
  <c r="H281" i="1"/>
  <c r="G281" i="1"/>
  <c r="F281" i="1"/>
  <c r="D281" i="1"/>
  <c r="I281" i="1" s="1"/>
  <c r="C281" i="1"/>
  <c r="I280" i="1"/>
  <c r="H280" i="1"/>
  <c r="G280" i="1"/>
  <c r="F280" i="1"/>
  <c r="D280" i="1"/>
  <c r="C280" i="1"/>
  <c r="I279" i="1"/>
  <c r="G279" i="1"/>
  <c r="H279" i="1" s="1"/>
  <c r="F279" i="1"/>
  <c r="D279" i="1"/>
  <c r="C279" i="1"/>
  <c r="H278" i="1"/>
  <c r="G278" i="1"/>
  <c r="F278" i="1"/>
  <c r="D278" i="1"/>
  <c r="I278" i="1" s="1"/>
  <c r="C278" i="1"/>
  <c r="H277" i="1"/>
  <c r="G277" i="1"/>
  <c r="F277" i="1"/>
  <c r="D277" i="1"/>
  <c r="I277" i="1" s="1"/>
  <c r="C277" i="1"/>
  <c r="I276" i="1"/>
  <c r="H276" i="1"/>
  <c r="G276" i="1"/>
  <c r="F276" i="1"/>
  <c r="D276" i="1"/>
  <c r="C276" i="1"/>
  <c r="I275" i="1"/>
  <c r="G275" i="1"/>
  <c r="H275" i="1" s="1"/>
  <c r="F275" i="1"/>
  <c r="D275" i="1"/>
  <c r="C275" i="1"/>
  <c r="G274" i="1"/>
  <c r="H274" i="1" s="1"/>
  <c r="F274" i="1"/>
  <c r="D274" i="1"/>
  <c r="I274" i="1" s="1"/>
  <c r="C274" i="1"/>
  <c r="H273" i="1"/>
  <c r="G273" i="1"/>
  <c r="F273" i="1"/>
  <c r="D273" i="1"/>
  <c r="I273" i="1" s="1"/>
  <c r="C273" i="1"/>
  <c r="I272" i="1"/>
  <c r="H272" i="1"/>
  <c r="G272" i="1"/>
  <c r="F272" i="1"/>
  <c r="D272" i="1"/>
  <c r="C272" i="1"/>
  <c r="I271" i="1"/>
  <c r="G271" i="1"/>
  <c r="H271" i="1" s="1"/>
  <c r="F271" i="1"/>
  <c r="D271" i="1"/>
  <c r="C271" i="1"/>
  <c r="I270" i="1"/>
  <c r="G270" i="1"/>
  <c r="H270" i="1" s="1"/>
  <c r="F270" i="1"/>
  <c r="D270" i="1"/>
  <c r="C270" i="1"/>
  <c r="G269" i="1"/>
  <c r="H269" i="1" s="1"/>
  <c r="F269" i="1"/>
  <c r="D269" i="1"/>
  <c r="I269" i="1" s="1"/>
  <c r="C269" i="1"/>
  <c r="H268" i="1"/>
  <c r="G268" i="1"/>
  <c r="F268" i="1"/>
  <c r="D268" i="1"/>
  <c r="I268" i="1" s="1"/>
  <c r="C268" i="1"/>
  <c r="I267" i="1"/>
  <c r="G267" i="1"/>
  <c r="H267" i="1" s="1"/>
  <c r="F267" i="1"/>
  <c r="D267" i="1"/>
  <c r="C267" i="1"/>
  <c r="G266" i="1"/>
  <c r="H266" i="1" s="1"/>
  <c r="F266" i="1"/>
  <c r="D266" i="1"/>
  <c r="I266" i="1" s="1"/>
  <c r="C266" i="1"/>
  <c r="G265" i="1"/>
  <c r="H265" i="1" s="1"/>
  <c r="F265" i="1"/>
  <c r="D265" i="1"/>
  <c r="I265" i="1" s="1"/>
  <c r="C265" i="1"/>
  <c r="H264" i="1"/>
  <c r="G264" i="1"/>
  <c r="F264" i="1"/>
  <c r="D264" i="1"/>
  <c r="I264" i="1" s="1"/>
  <c r="C264" i="1"/>
  <c r="I263" i="1"/>
  <c r="G263" i="1"/>
  <c r="H263" i="1" s="1"/>
  <c r="F263" i="1"/>
  <c r="D263" i="1"/>
  <c r="C263" i="1"/>
  <c r="G262" i="1"/>
  <c r="H262" i="1" s="1"/>
  <c r="F262" i="1"/>
  <c r="D262" i="1"/>
  <c r="I262" i="1" s="1"/>
  <c r="C262" i="1"/>
  <c r="H261" i="1"/>
  <c r="G261" i="1"/>
  <c r="F261" i="1"/>
  <c r="D261" i="1"/>
  <c r="I261" i="1" s="1"/>
  <c r="C261" i="1"/>
  <c r="I260" i="1"/>
  <c r="H260" i="1"/>
  <c r="G260" i="1"/>
  <c r="F260" i="1"/>
  <c r="D260" i="1"/>
  <c r="C260" i="1"/>
  <c r="I259" i="1"/>
  <c r="G259" i="1"/>
  <c r="H259" i="1" s="1"/>
  <c r="F259" i="1"/>
  <c r="D259" i="1"/>
  <c r="C259" i="1"/>
  <c r="G258" i="1"/>
  <c r="H258" i="1" s="1"/>
  <c r="F258" i="1"/>
  <c r="D258" i="1"/>
  <c r="I258" i="1" s="1"/>
  <c r="C258" i="1"/>
  <c r="H257" i="1"/>
  <c r="G257" i="1"/>
  <c r="F257" i="1"/>
  <c r="D257" i="1"/>
  <c r="I257" i="1" s="1"/>
  <c r="C257" i="1"/>
  <c r="I256" i="1"/>
  <c r="H256" i="1"/>
  <c r="G256" i="1"/>
  <c r="F256" i="1"/>
  <c r="D256" i="1"/>
  <c r="C256" i="1"/>
  <c r="I255" i="1"/>
  <c r="G255" i="1"/>
  <c r="H255" i="1" s="1"/>
  <c r="F255" i="1"/>
  <c r="D255" i="1"/>
  <c r="C255" i="1"/>
  <c r="I254" i="1"/>
  <c r="G254" i="1"/>
  <c r="H254" i="1" s="1"/>
  <c r="F254" i="1"/>
  <c r="D254" i="1"/>
  <c r="C254" i="1"/>
  <c r="G253" i="1"/>
  <c r="H253" i="1" s="1"/>
  <c r="F253" i="1"/>
  <c r="D253" i="1"/>
  <c r="I253" i="1" s="1"/>
  <c r="C253" i="1"/>
  <c r="H252" i="1"/>
  <c r="G252" i="1"/>
  <c r="F252" i="1"/>
  <c r="D252" i="1"/>
  <c r="I252" i="1" s="1"/>
  <c r="C252" i="1"/>
  <c r="I251" i="1"/>
  <c r="G251" i="1"/>
  <c r="H251" i="1" s="1"/>
  <c r="F251" i="1"/>
  <c r="D251" i="1"/>
  <c r="C251" i="1"/>
  <c r="G250" i="1"/>
  <c r="H250" i="1" s="1"/>
  <c r="F250" i="1"/>
  <c r="D250" i="1"/>
  <c r="I250" i="1" s="1"/>
  <c r="C250" i="1"/>
  <c r="G249" i="1"/>
  <c r="H249" i="1" s="1"/>
  <c r="F249" i="1"/>
  <c r="D249" i="1"/>
  <c r="I249" i="1" s="1"/>
  <c r="C249" i="1"/>
  <c r="H248" i="1"/>
  <c r="G248" i="1"/>
  <c r="F248" i="1"/>
  <c r="D248" i="1"/>
  <c r="I248" i="1" s="1"/>
  <c r="C248" i="1"/>
  <c r="I247" i="1"/>
  <c r="G247" i="1"/>
  <c r="H247" i="1" s="1"/>
  <c r="F247" i="1"/>
  <c r="D247" i="1"/>
  <c r="C247" i="1"/>
  <c r="G246" i="1"/>
  <c r="H246" i="1" s="1"/>
  <c r="F246" i="1"/>
  <c r="D246" i="1"/>
  <c r="I246" i="1" s="1"/>
  <c r="C246" i="1"/>
  <c r="H245" i="1"/>
  <c r="G245" i="1"/>
  <c r="F245" i="1"/>
  <c r="D245" i="1"/>
  <c r="I245" i="1" s="1"/>
  <c r="C245" i="1"/>
  <c r="I244" i="1"/>
  <c r="H244" i="1"/>
  <c r="G244" i="1"/>
  <c r="F244" i="1"/>
  <c r="D244" i="1"/>
  <c r="C244" i="1"/>
  <c r="I243" i="1"/>
  <c r="G243" i="1"/>
  <c r="H243" i="1" s="1"/>
  <c r="F243" i="1"/>
  <c r="D243" i="1"/>
  <c r="C243" i="1"/>
  <c r="G242" i="1"/>
  <c r="H242" i="1" s="1"/>
  <c r="F242" i="1"/>
  <c r="D242" i="1"/>
  <c r="I242" i="1" s="1"/>
  <c r="C242" i="1"/>
  <c r="H241" i="1"/>
  <c r="G241" i="1"/>
  <c r="F241" i="1"/>
  <c r="D241" i="1"/>
  <c r="I241" i="1" s="1"/>
  <c r="C241" i="1"/>
  <c r="I240" i="1"/>
  <c r="H240" i="1"/>
  <c r="G240" i="1"/>
  <c r="F240" i="1"/>
  <c r="D240" i="1"/>
  <c r="C240" i="1"/>
  <c r="I239" i="1"/>
  <c r="G239" i="1"/>
  <c r="H239" i="1" s="1"/>
  <c r="F239" i="1"/>
  <c r="D239" i="1"/>
  <c r="C239" i="1"/>
  <c r="I238" i="1"/>
  <c r="G238" i="1"/>
  <c r="H238" i="1" s="1"/>
  <c r="F238" i="1"/>
  <c r="D238" i="1"/>
  <c r="C238" i="1"/>
  <c r="H237" i="1"/>
  <c r="G237" i="1"/>
  <c r="F237" i="1"/>
  <c r="D237" i="1"/>
  <c r="I237" i="1" s="1"/>
  <c r="C237" i="1"/>
  <c r="H236" i="1"/>
  <c r="G236" i="1"/>
  <c r="F236" i="1"/>
  <c r="D236" i="1"/>
  <c r="I236" i="1" s="1"/>
  <c r="C236" i="1"/>
  <c r="I235" i="1"/>
  <c r="G235" i="1"/>
  <c r="H235" i="1" s="1"/>
  <c r="F235" i="1"/>
  <c r="D235" i="1"/>
  <c r="C235" i="1"/>
  <c r="G234" i="1"/>
  <c r="H234" i="1" s="1"/>
  <c r="F234" i="1"/>
  <c r="D234" i="1"/>
  <c r="I234" i="1" s="1"/>
  <c r="C234" i="1"/>
  <c r="G233" i="1"/>
  <c r="H233" i="1" s="1"/>
  <c r="F233" i="1"/>
  <c r="D233" i="1"/>
  <c r="I233" i="1" s="1"/>
  <c r="C233" i="1"/>
  <c r="H232" i="1"/>
  <c r="G232" i="1"/>
  <c r="F232" i="1"/>
  <c r="D232" i="1"/>
  <c r="I232" i="1" s="1"/>
  <c r="C232" i="1"/>
  <c r="I231" i="1"/>
  <c r="G231" i="1"/>
  <c r="H231" i="1" s="1"/>
  <c r="F231" i="1"/>
  <c r="D231" i="1"/>
  <c r="C231" i="1"/>
  <c r="G230" i="1"/>
  <c r="H230" i="1" s="1"/>
  <c r="F230" i="1"/>
  <c r="D230" i="1"/>
  <c r="I230" i="1" s="1"/>
  <c r="C230" i="1"/>
  <c r="H229" i="1"/>
  <c r="G229" i="1"/>
  <c r="F229" i="1"/>
  <c r="D229" i="1"/>
  <c r="I229" i="1" s="1"/>
  <c r="C229" i="1"/>
  <c r="I228" i="1"/>
  <c r="H228" i="1"/>
  <c r="G228" i="1"/>
  <c r="F228" i="1"/>
  <c r="D228" i="1"/>
  <c r="C228" i="1"/>
  <c r="I227" i="1"/>
  <c r="G227" i="1"/>
  <c r="H227" i="1" s="1"/>
  <c r="F227" i="1"/>
  <c r="D227" i="1"/>
  <c r="C227" i="1"/>
  <c r="G226" i="1"/>
  <c r="H226" i="1" s="1"/>
  <c r="F226" i="1"/>
  <c r="D226" i="1"/>
  <c r="I226" i="1" s="1"/>
  <c r="C226" i="1"/>
  <c r="H225" i="1"/>
  <c r="G225" i="1"/>
  <c r="F225" i="1"/>
  <c r="D225" i="1"/>
  <c r="I225" i="1" s="1"/>
  <c r="C225" i="1"/>
  <c r="I224" i="1"/>
  <c r="H224" i="1"/>
  <c r="G224" i="1"/>
  <c r="F224" i="1"/>
  <c r="D224" i="1"/>
  <c r="C224" i="1"/>
  <c r="I223" i="1"/>
  <c r="G223" i="1"/>
  <c r="H223" i="1" s="1"/>
  <c r="F223" i="1"/>
  <c r="D223" i="1"/>
  <c r="C223" i="1"/>
  <c r="I222" i="1"/>
  <c r="G222" i="1"/>
  <c r="H222" i="1" s="1"/>
  <c r="F222" i="1"/>
  <c r="D222" i="1"/>
  <c r="C222" i="1"/>
  <c r="H221" i="1"/>
  <c r="G221" i="1"/>
  <c r="F221" i="1"/>
  <c r="D221" i="1"/>
  <c r="I221" i="1" s="1"/>
  <c r="C221" i="1"/>
  <c r="H220" i="1"/>
  <c r="G220" i="1"/>
  <c r="F220" i="1"/>
  <c r="D220" i="1"/>
  <c r="I220" i="1" s="1"/>
  <c r="C220" i="1"/>
  <c r="I219" i="1"/>
  <c r="G219" i="1"/>
  <c r="H219" i="1" s="1"/>
  <c r="F219" i="1"/>
  <c r="D219" i="1"/>
  <c r="C219" i="1"/>
  <c r="G218" i="1"/>
  <c r="H218" i="1" s="1"/>
  <c r="F218" i="1"/>
  <c r="D218" i="1"/>
  <c r="I218" i="1" s="1"/>
  <c r="C218" i="1"/>
  <c r="G217" i="1"/>
  <c r="H217" i="1" s="1"/>
  <c r="F217" i="1"/>
  <c r="D217" i="1"/>
  <c r="I217" i="1" s="1"/>
  <c r="C217" i="1"/>
  <c r="H216" i="1"/>
  <c r="G216" i="1"/>
  <c r="F216" i="1"/>
  <c r="D216" i="1"/>
  <c r="I216" i="1" s="1"/>
  <c r="C216" i="1"/>
  <c r="I215" i="1"/>
  <c r="G215" i="1"/>
  <c r="H215" i="1" s="1"/>
  <c r="F215" i="1"/>
  <c r="D215" i="1"/>
  <c r="C215" i="1"/>
  <c r="G214" i="1"/>
  <c r="H214" i="1" s="1"/>
  <c r="F214" i="1"/>
  <c r="D214" i="1"/>
  <c r="I214" i="1" s="1"/>
  <c r="C214" i="1"/>
  <c r="H213" i="1"/>
  <c r="G213" i="1"/>
  <c r="F213" i="1"/>
  <c r="D213" i="1"/>
  <c r="I213" i="1" s="1"/>
  <c r="C213" i="1"/>
  <c r="I212" i="1"/>
  <c r="H212" i="1"/>
  <c r="G212" i="1"/>
  <c r="F212" i="1"/>
  <c r="D212" i="1"/>
  <c r="C212" i="1"/>
  <c r="I211" i="1"/>
  <c r="G211" i="1"/>
  <c r="H211" i="1" s="1"/>
  <c r="F211" i="1"/>
  <c r="D211" i="1"/>
  <c r="C211" i="1"/>
  <c r="G210" i="1"/>
  <c r="H210" i="1" s="1"/>
  <c r="F210" i="1"/>
  <c r="D210" i="1"/>
  <c r="I210" i="1" s="1"/>
  <c r="C210" i="1"/>
  <c r="H209" i="1"/>
  <c r="G209" i="1"/>
  <c r="F209" i="1"/>
  <c r="D209" i="1"/>
  <c r="I209" i="1" s="1"/>
  <c r="C209" i="1"/>
  <c r="I208" i="1"/>
  <c r="H208" i="1"/>
  <c r="G208" i="1"/>
  <c r="F208" i="1"/>
  <c r="D208" i="1"/>
  <c r="C208" i="1"/>
  <c r="I207" i="1"/>
  <c r="G207" i="1"/>
  <c r="H207" i="1" s="1"/>
  <c r="F207" i="1"/>
  <c r="D207" i="1"/>
  <c r="C207" i="1"/>
  <c r="I206" i="1"/>
  <c r="G206" i="1"/>
  <c r="H206" i="1" s="1"/>
  <c r="F206" i="1"/>
  <c r="D206" i="1"/>
  <c r="C206" i="1"/>
  <c r="H205" i="1"/>
  <c r="G205" i="1"/>
  <c r="F205" i="1"/>
  <c r="D205" i="1"/>
  <c r="I205" i="1" s="1"/>
  <c r="C205" i="1"/>
  <c r="H204" i="1"/>
  <c r="G204" i="1"/>
  <c r="F204" i="1"/>
  <c r="D204" i="1"/>
  <c r="I204" i="1" s="1"/>
  <c r="C204" i="1"/>
  <c r="I203" i="1"/>
  <c r="G203" i="1"/>
  <c r="H203" i="1" s="1"/>
  <c r="F203" i="1"/>
  <c r="D203" i="1"/>
  <c r="C203" i="1"/>
  <c r="G202" i="1"/>
  <c r="H202" i="1" s="1"/>
  <c r="F202" i="1"/>
  <c r="D202" i="1"/>
  <c r="I202" i="1" s="1"/>
  <c r="C202" i="1"/>
  <c r="G201" i="1"/>
  <c r="H201" i="1" s="1"/>
  <c r="F201" i="1"/>
  <c r="D201" i="1"/>
  <c r="I201" i="1" s="1"/>
  <c r="C201" i="1"/>
  <c r="H200" i="1"/>
  <c r="G200" i="1"/>
  <c r="F200" i="1"/>
  <c r="D200" i="1"/>
  <c r="I200" i="1" s="1"/>
  <c r="C200" i="1"/>
  <c r="I199" i="1"/>
  <c r="G199" i="1"/>
  <c r="H199" i="1" s="1"/>
  <c r="F199" i="1"/>
  <c r="D199" i="1"/>
  <c r="C199" i="1"/>
  <c r="G198" i="1"/>
  <c r="H198" i="1" s="1"/>
  <c r="F198" i="1"/>
  <c r="D198" i="1"/>
  <c r="I198" i="1" s="1"/>
  <c r="C198" i="1"/>
  <c r="H197" i="1"/>
  <c r="G197" i="1"/>
  <c r="F197" i="1"/>
  <c r="D197" i="1"/>
  <c r="I197" i="1" s="1"/>
  <c r="C197" i="1"/>
  <c r="I196" i="1"/>
  <c r="H196" i="1"/>
  <c r="G196" i="1"/>
  <c r="F196" i="1"/>
  <c r="D196" i="1"/>
  <c r="C196" i="1"/>
  <c r="I195" i="1"/>
  <c r="G195" i="1"/>
  <c r="H195" i="1" s="1"/>
  <c r="F195" i="1"/>
  <c r="D195" i="1"/>
  <c r="C195" i="1"/>
  <c r="G194" i="1"/>
  <c r="H194" i="1" s="1"/>
  <c r="F194" i="1"/>
  <c r="D194" i="1"/>
  <c r="I194" i="1" s="1"/>
  <c r="C194" i="1"/>
  <c r="H193" i="1"/>
  <c r="G193" i="1"/>
  <c r="F193" i="1"/>
  <c r="D193" i="1"/>
  <c r="I193" i="1" s="1"/>
  <c r="C193" i="1"/>
  <c r="I192" i="1"/>
  <c r="H192" i="1"/>
  <c r="G192" i="1"/>
  <c r="F192" i="1"/>
  <c r="D192" i="1"/>
  <c r="C192" i="1"/>
  <c r="I191" i="1"/>
  <c r="G191" i="1"/>
  <c r="H191" i="1" s="1"/>
  <c r="F191" i="1"/>
  <c r="D191" i="1"/>
  <c r="C191" i="1"/>
  <c r="I190" i="1"/>
  <c r="G190" i="1"/>
  <c r="H190" i="1" s="1"/>
  <c r="F190" i="1"/>
  <c r="D190" i="1"/>
  <c r="C190" i="1"/>
  <c r="H189" i="1"/>
  <c r="G189" i="1"/>
  <c r="F189" i="1"/>
  <c r="D189" i="1"/>
  <c r="I189" i="1" s="1"/>
  <c r="C189" i="1"/>
  <c r="G188" i="1"/>
  <c r="H188" i="1" s="1"/>
  <c r="F188" i="1"/>
  <c r="D188" i="1"/>
  <c r="I188" i="1" s="1"/>
  <c r="C188" i="1"/>
  <c r="H187" i="1"/>
  <c r="G187" i="1"/>
  <c r="F187" i="1"/>
  <c r="D187" i="1"/>
  <c r="I187" i="1" s="1"/>
  <c r="C187" i="1"/>
  <c r="H186" i="1"/>
  <c r="G186" i="1"/>
  <c r="F186" i="1"/>
  <c r="D186" i="1"/>
  <c r="I186" i="1" s="1"/>
  <c r="C186" i="1"/>
  <c r="I185" i="1"/>
  <c r="H185" i="1"/>
  <c r="G185" i="1"/>
  <c r="F185" i="1"/>
  <c r="D185" i="1"/>
  <c r="C185" i="1"/>
  <c r="G184" i="1"/>
  <c r="H184" i="1" s="1"/>
  <c r="F184" i="1"/>
  <c r="D184" i="1"/>
  <c r="I184" i="1" s="1"/>
  <c r="C184" i="1"/>
  <c r="H183" i="1"/>
  <c r="G183" i="1"/>
  <c r="F183" i="1"/>
  <c r="D183" i="1"/>
  <c r="I183" i="1" s="1"/>
  <c r="C183" i="1"/>
  <c r="H182" i="1"/>
  <c r="G182" i="1"/>
  <c r="F182" i="1"/>
  <c r="D182" i="1"/>
  <c r="I182" i="1" s="1"/>
  <c r="C182" i="1"/>
  <c r="I181" i="1"/>
  <c r="H181" i="1"/>
  <c r="G181" i="1"/>
  <c r="F181" i="1"/>
  <c r="D181" i="1"/>
  <c r="C181" i="1"/>
  <c r="G180" i="1"/>
  <c r="H180" i="1" s="1"/>
  <c r="F180" i="1"/>
  <c r="D180" i="1"/>
  <c r="I180" i="1" s="1"/>
  <c r="C180" i="1"/>
  <c r="H179" i="1"/>
  <c r="G179" i="1"/>
  <c r="F179" i="1"/>
  <c r="D179" i="1"/>
  <c r="I179" i="1" s="1"/>
  <c r="C179" i="1"/>
  <c r="I178" i="1"/>
  <c r="H178" i="1"/>
  <c r="G178" i="1"/>
  <c r="F178" i="1"/>
  <c r="D178" i="1"/>
  <c r="C178" i="1"/>
  <c r="I177" i="1"/>
  <c r="H177" i="1"/>
  <c r="G177" i="1"/>
  <c r="F177" i="1"/>
  <c r="D177" i="1"/>
  <c r="C177" i="1"/>
  <c r="G176" i="1"/>
  <c r="H176" i="1" s="1"/>
  <c r="F176" i="1"/>
  <c r="D176" i="1"/>
  <c r="I176" i="1" s="1"/>
  <c r="C176" i="1"/>
  <c r="H175" i="1"/>
  <c r="G175" i="1"/>
  <c r="F175" i="1"/>
  <c r="D175" i="1"/>
  <c r="I175" i="1" s="1"/>
  <c r="C175" i="1"/>
  <c r="H174" i="1"/>
  <c r="G174" i="1"/>
  <c r="F174" i="1"/>
  <c r="D174" i="1"/>
  <c r="I174" i="1" s="1"/>
  <c r="C174" i="1"/>
  <c r="I173" i="1"/>
  <c r="H173" i="1"/>
  <c r="G173" i="1"/>
  <c r="F173" i="1"/>
  <c r="D173" i="1"/>
  <c r="C173" i="1"/>
  <c r="G172" i="1"/>
  <c r="H172" i="1" s="1"/>
  <c r="F172" i="1"/>
  <c r="D172" i="1"/>
  <c r="I172" i="1" s="1"/>
  <c r="C172" i="1"/>
  <c r="H171" i="1"/>
  <c r="G171" i="1"/>
  <c r="F171" i="1"/>
  <c r="D171" i="1"/>
  <c r="I171" i="1" s="1"/>
  <c r="C171" i="1"/>
  <c r="H170" i="1"/>
  <c r="G170" i="1"/>
  <c r="F170" i="1"/>
  <c r="D170" i="1"/>
  <c r="I170" i="1" s="1"/>
  <c r="C170" i="1"/>
  <c r="I169" i="1"/>
  <c r="H169" i="1"/>
  <c r="G169" i="1"/>
  <c r="F169" i="1"/>
  <c r="D169" i="1"/>
  <c r="C169" i="1"/>
  <c r="G168" i="1"/>
  <c r="H168" i="1" s="1"/>
  <c r="F168" i="1"/>
  <c r="D168" i="1"/>
  <c r="I168" i="1" s="1"/>
  <c r="C168" i="1"/>
  <c r="H167" i="1"/>
  <c r="G167" i="1"/>
  <c r="F167" i="1"/>
  <c r="D167" i="1"/>
  <c r="I167" i="1" s="1"/>
  <c r="C167" i="1"/>
  <c r="H166" i="1"/>
  <c r="G166" i="1"/>
  <c r="F166" i="1"/>
  <c r="D166" i="1"/>
  <c r="I166" i="1" s="1"/>
  <c r="C166" i="1"/>
  <c r="I165" i="1"/>
  <c r="H165" i="1"/>
  <c r="G165" i="1"/>
  <c r="F165" i="1"/>
  <c r="D165" i="1"/>
  <c r="C165" i="1"/>
  <c r="G164" i="1"/>
  <c r="H164" i="1" s="1"/>
  <c r="F164" i="1"/>
  <c r="D164" i="1"/>
  <c r="I164" i="1" s="1"/>
  <c r="C164" i="1"/>
  <c r="H163" i="1"/>
  <c r="G163" i="1"/>
  <c r="F163" i="1"/>
  <c r="D163" i="1"/>
  <c r="I163" i="1" s="1"/>
  <c r="C163" i="1"/>
  <c r="H162" i="1"/>
  <c r="G162" i="1"/>
  <c r="F162" i="1"/>
  <c r="D162" i="1"/>
  <c r="I162" i="1" s="1"/>
  <c r="C162" i="1"/>
  <c r="I161" i="1"/>
  <c r="H161" i="1"/>
  <c r="G161" i="1"/>
  <c r="F161" i="1"/>
  <c r="D161" i="1"/>
  <c r="C161" i="1"/>
  <c r="G160" i="1"/>
  <c r="H160" i="1" s="1"/>
  <c r="F160" i="1"/>
  <c r="D160" i="1"/>
  <c r="I160" i="1" s="1"/>
  <c r="C160" i="1"/>
  <c r="G159" i="1"/>
  <c r="H159" i="1" s="1"/>
  <c r="F159" i="1"/>
  <c r="D159" i="1"/>
  <c r="I159" i="1" s="1"/>
  <c r="C159" i="1"/>
  <c r="H158" i="1"/>
  <c r="G158" i="1"/>
  <c r="F158" i="1"/>
  <c r="D158" i="1"/>
  <c r="I158" i="1" s="1"/>
  <c r="C158" i="1"/>
  <c r="I157" i="1"/>
  <c r="H157" i="1"/>
  <c r="G157" i="1"/>
  <c r="F157" i="1"/>
  <c r="D157" i="1"/>
  <c r="C157" i="1"/>
  <c r="G156" i="1"/>
  <c r="H156" i="1" s="1"/>
  <c r="F156" i="1"/>
  <c r="D156" i="1"/>
  <c r="I156" i="1" s="1"/>
  <c r="C156" i="1"/>
  <c r="G155" i="1"/>
  <c r="H155" i="1" s="1"/>
  <c r="F155" i="1"/>
  <c r="D155" i="1"/>
  <c r="I155" i="1" s="1"/>
  <c r="C155" i="1"/>
  <c r="H154" i="1"/>
  <c r="G154" i="1"/>
  <c r="F154" i="1"/>
  <c r="D154" i="1"/>
  <c r="I154" i="1" s="1"/>
  <c r="C154" i="1"/>
  <c r="I153" i="1"/>
  <c r="H153" i="1"/>
  <c r="G153" i="1"/>
  <c r="F153" i="1"/>
  <c r="D153" i="1"/>
  <c r="C153" i="1"/>
  <c r="I152" i="1"/>
  <c r="G152" i="1"/>
  <c r="H152" i="1" s="1"/>
  <c r="F152" i="1"/>
  <c r="D152" i="1"/>
  <c r="C152" i="1"/>
  <c r="G151" i="1"/>
  <c r="H151" i="1" s="1"/>
  <c r="F151" i="1"/>
  <c r="D151" i="1"/>
  <c r="I151" i="1" s="1"/>
  <c r="C151" i="1"/>
  <c r="H150" i="1"/>
  <c r="G150" i="1"/>
  <c r="F150" i="1"/>
  <c r="D150" i="1"/>
  <c r="I150" i="1" s="1"/>
  <c r="C150" i="1"/>
  <c r="I149" i="1"/>
  <c r="H149" i="1"/>
  <c r="G149" i="1"/>
  <c r="F149" i="1"/>
  <c r="D149" i="1"/>
  <c r="C149" i="1"/>
  <c r="I148" i="1"/>
  <c r="G148" i="1"/>
  <c r="H148" i="1" s="1"/>
  <c r="F148" i="1"/>
  <c r="D148" i="1"/>
  <c r="C148" i="1"/>
  <c r="G147" i="1"/>
  <c r="H147" i="1" s="1"/>
  <c r="F147" i="1"/>
  <c r="D147" i="1"/>
  <c r="I147" i="1" s="1"/>
  <c r="C147" i="1"/>
  <c r="H146" i="1"/>
  <c r="G146" i="1"/>
  <c r="F146" i="1"/>
  <c r="D146" i="1"/>
  <c r="I146" i="1" s="1"/>
  <c r="C146" i="1"/>
  <c r="I145" i="1"/>
  <c r="H145" i="1"/>
  <c r="G145" i="1"/>
  <c r="F145" i="1"/>
  <c r="D145" i="1"/>
  <c r="C145" i="1"/>
  <c r="G144" i="1"/>
  <c r="H144" i="1" s="1"/>
  <c r="F144" i="1"/>
  <c r="D144" i="1"/>
  <c r="I144" i="1" s="1"/>
  <c r="C144" i="1"/>
  <c r="G143" i="1"/>
  <c r="H143" i="1" s="1"/>
  <c r="F143" i="1"/>
  <c r="D143" i="1"/>
  <c r="I143" i="1" s="1"/>
  <c r="C143" i="1"/>
  <c r="H142" i="1"/>
  <c r="G142" i="1"/>
  <c r="F142" i="1"/>
  <c r="D142" i="1"/>
  <c r="I142" i="1" s="1"/>
  <c r="C142" i="1"/>
  <c r="I141" i="1"/>
  <c r="H141" i="1"/>
  <c r="G141" i="1"/>
  <c r="F141" i="1"/>
  <c r="D141" i="1"/>
  <c r="C141" i="1"/>
  <c r="I140" i="1"/>
  <c r="G140" i="1"/>
  <c r="H140" i="1" s="1"/>
  <c r="F140" i="1"/>
  <c r="D140" i="1"/>
  <c r="C140" i="1"/>
  <c r="G139" i="1"/>
  <c r="H139" i="1" s="1"/>
  <c r="F139" i="1"/>
  <c r="D139" i="1"/>
  <c r="I139" i="1" s="1"/>
  <c r="C139" i="1"/>
  <c r="H138" i="1"/>
  <c r="G138" i="1"/>
  <c r="F138" i="1"/>
  <c r="D138" i="1"/>
  <c r="I138" i="1" s="1"/>
  <c r="C138" i="1"/>
  <c r="I137" i="1"/>
  <c r="H137" i="1"/>
  <c r="G137" i="1"/>
  <c r="F137" i="1"/>
  <c r="D137" i="1"/>
  <c r="C137" i="1"/>
  <c r="I136" i="1"/>
  <c r="G136" i="1"/>
  <c r="H136" i="1" s="1"/>
  <c r="F136" i="1"/>
  <c r="D136" i="1"/>
  <c r="C136" i="1"/>
  <c r="G135" i="1"/>
  <c r="H135" i="1" s="1"/>
  <c r="F135" i="1"/>
  <c r="D135" i="1"/>
  <c r="I135" i="1" s="1"/>
  <c r="C135" i="1"/>
  <c r="H134" i="1"/>
  <c r="G134" i="1"/>
  <c r="F134" i="1"/>
  <c r="D134" i="1"/>
  <c r="I134" i="1" s="1"/>
  <c r="C134" i="1"/>
  <c r="I133" i="1"/>
  <c r="H133" i="1"/>
  <c r="G133" i="1"/>
  <c r="F133" i="1"/>
  <c r="D133" i="1"/>
  <c r="C133" i="1"/>
  <c r="I132" i="1"/>
  <c r="G132" i="1"/>
  <c r="H132" i="1" s="1"/>
  <c r="F132" i="1"/>
  <c r="D132" i="1"/>
  <c r="C132" i="1"/>
  <c r="G131" i="1"/>
  <c r="H131" i="1" s="1"/>
  <c r="F131" i="1"/>
  <c r="D131" i="1"/>
  <c r="I131" i="1" s="1"/>
  <c r="C131" i="1"/>
  <c r="H130" i="1"/>
  <c r="G130" i="1"/>
  <c r="F130" i="1"/>
  <c r="D130" i="1"/>
  <c r="I130" i="1" s="1"/>
  <c r="C130" i="1"/>
  <c r="I129" i="1"/>
  <c r="H129" i="1"/>
  <c r="G129" i="1"/>
  <c r="F129" i="1"/>
  <c r="D129" i="1"/>
  <c r="C129" i="1"/>
  <c r="I128" i="1"/>
  <c r="G128" i="1"/>
  <c r="H128" i="1" s="1"/>
  <c r="F128" i="1"/>
  <c r="D128" i="1"/>
  <c r="C128" i="1"/>
  <c r="G127" i="1"/>
  <c r="H127" i="1" s="1"/>
  <c r="F127" i="1"/>
  <c r="D127" i="1"/>
  <c r="I127" i="1" s="1"/>
  <c r="C127" i="1"/>
  <c r="H126" i="1"/>
  <c r="G126" i="1"/>
  <c r="F126" i="1"/>
  <c r="D126" i="1"/>
  <c r="I126" i="1" s="1"/>
  <c r="C126" i="1"/>
  <c r="I125" i="1"/>
  <c r="H125" i="1"/>
  <c r="G125" i="1"/>
  <c r="F125" i="1"/>
  <c r="D125" i="1"/>
  <c r="C125" i="1"/>
  <c r="G124" i="1"/>
  <c r="H124" i="1" s="1"/>
  <c r="F124" i="1"/>
  <c r="D124" i="1"/>
  <c r="I124" i="1" s="1"/>
  <c r="C124" i="1"/>
  <c r="G123" i="1"/>
  <c r="H123" i="1" s="1"/>
  <c r="F123" i="1"/>
  <c r="D123" i="1"/>
  <c r="I123" i="1" s="1"/>
  <c r="C123" i="1"/>
  <c r="H122" i="1"/>
  <c r="G122" i="1"/>
  <c r="F122" i="1"/>
  <c r="D122" i="1"/>
  <c r="I122" i="1" s="1"/>
  <c r="C122" i="1"/>
  <c r="I121" i="1"/>
  <c r="H121" i="1"/>
  <c r="G121" i="1"/>
  <c r="F121" i="1"/>
  <c r="D121" i="1"/>
  <c r="C121" i="1"/>
  <c r="I120" i="1"/>
  <c r="G120" i="1"/>
  <c r="H120" i="1" s="1"/>
  <c r="F120" i="1"/>
  <c r="D120" i="1"/>
  <c r="C120" i="1"/>
  <c r="G119" i="1"/>
  <c r="H119" i="1" s="1"/>
  <c r="F119" i="1"/>
  <c r="D119" i="1"/>
  <c r="I119" i="1" s="1"/>
  <c r="C119" i="1"/>
  <c r="H118" i="1"/>
  <c r="G118" i="1"/>
  <c r="F118" i="1"/>
  <c r="D118" i="1"/>
  <c r="I118" i="1" s="1"/>
  <c r="C118" i="1"/>
  <c r="I117" i="1"/>
  <c r="H117" i="1"/>
  <c r="G117" i="1"/>
  <c r="F117" i="1"/>
  <c r="D117" i="1"/>
  <c r="C117" i="1"/>
  <c r="I116" i="1"/>
  <c r="G116" i="1"/>
  <c r="H116" i="1" s="1"/>
  <c r="F116" i="1"/>
  <c r="D116" i="1"/>
  <c r="C116" i="1"/>
  <c r="G115" i="1"/>
  <c r="H115" i="1" s="1"/>
  <c r="F115" i="1"/>
  <c r="D115" i="1"/>
  <c r="I115" i="1" s="1"/>
  <c r="C115" i="1"/>
  <c r="H114" i="1"/>
  <c r="G114" i="1"/>
  <c r="F114" i="1"/>
  <c r="D114" i="1"/>
  <c r="I114" i="1" s="1"/>
  <c r="C114" i="1"/>
  <c r="I113" i="1"/>
  <c r="H113" i="1"/>
  <c r="G113" i="1"/>
  <c r="F113" i="1"/>
  <c r="D113" i="1"/>
  <c r="C113" i="1"/>
  <c r="I112" i="1"/>
  <c r="G112" i="1"/>
  <c r="H112" i="1" s="1"/>
  <c r="F112" i="1"/>
  <c r="D112" i="1"/>
  <c r="C112" i="1"/>
  <c r="G111" i="1"/>
  <c r="H111" i="1" s="1"/>
  <c r="F111" i="1"/>
  <c r="D111" i="1"/>
  <c r="I111" i="1" s="1"/>
  <c r="C111" i="1"/>
  <c r="H110" i="1"/>
  <c r="G110" i="1"/>
  <c r="F110" i="1"/>
  <c r="D110" i="1"/>
  <c r="I110" i="1" s="1"/>
  <c r="C110" i="1"/>
  <c r="I109" i="1"/>
  <c r="H109" i="1"/>
  <c r="G109" i="1"/>
  <c r="F109" i="1"/>
  <c r="D109" i="1"/>
  <c r="C109" i="1"/>
  <c r="I108" i="1"/>
  <c r="G108" i="1"/>
  <c r="H108" i="1" s="1"/>
  <c r="F108" i="1"/>
  <c r="D108" i="1"/>
  <c r="C108" i="1"/>
  <c r="G107" i="1"/>
  <c r="H107" i="1" s="1"/>
  <c r="F107" i="1"/>
  <c r="D107" i="1"/>
  <c r="I107" i="1" s="1"/>
  <c r="C107" i="1"/>
  <c r="H106" i="1"/>
  <c r="G106" i="1"/>
  <c r="F106" i="1"/>
  <c r="D106" i="1"/>
  <c r="I106" i="1" s="1"/>
  <c r="C106" i="1"/>
  <c r="I105" i="1"/>
  <c r="H105" i="1"/>
  <c r="G105" i="1"/>
  <c r="F105" i="1"/>
  <c r="D105" i="1"/>
  <c r="C105" i="1"/>
  <c r="I104" i="1"/>
  <c r="G104" i="1"/>
  <c r="H104" i="1" s="1"/>
  <c r="F104" i="1"/>
  <c r="D104" i="1"/>
  <c r="C104" i="1"/>
  <c r="G103" i="1"/>
  <c r="H103" i="1" s="1"/>
  <c r="F103" i="1"/>
  <c r="D103" i="1"/>
  <c r="I103" i="1" s="1"/>
  <c r="C103" i="1"/>
  <c r="H102" i="1"/>
  <c r="G102" i="1"/>
  <c r="F102" i="1"/>
  <c r="D102" i="1"/>
  <c r="I102" i="1" s="1"/>
  <c r="C102" i="1"/>
  <c r="I101" i="1"/>
  <c r="H101" i="1"/>
  <c r="G101" i="1"/>
  <c r="F101" i="1"/>
  <c r="D101" i="1"/>
  <c r="C101" i="1"/>
  <c r="I100" i="1"/>
  <c r="G100" i="1"/>
  <c r="H100" i="1" s="1"/>
  <c r="F100" i="1"/>
  <c r="D100" i="1"/>
  <c r="C100" i="1"/>
  <c r="G99" i="1"/>
  <c r="H99" i="1" s="1"/>
  <c r="F99" i="1"/>
  <c r="D99" i="1"/>
  <c r="I99" i="1" s="1"/>
  <c r="C99" i="1"/>
  <c r="H98" i="1"/>
  <c r="G98" i="1"/>
  <c r="F98" i="1"/>
  <c r="D98" i="1"/>
  <c r="I98" i="1" s="1"/>
  <c r="C98" i="1"/>
  <c r="I97" i="1"/>
  <c r="H97" i="1"/>
  <c r="G97" i="1"/>
  <c r="F97" i="1"/>
  <c r="D97" i="1"/>
  <c r="C97" i="1"/>
  <c r="I96" i="1"/>
  <c r="G96" i="1"/>
  <c r="H96" i="1" s="1"/>
  <c r="F96" i="1"/>
  <c r="D96" i="1"/>
  <c r="C96" i="1"/>
  <c r="G95" i="1"/>
  <c r="H95" i="1" s="1"/>
  <c r="F95" i="1"/>
  <c r="D95" i="1"/>
  <c r="I95" i="1" s="1"/>
  <c r="C95" i="1"/>
  <c r="H94" i="1"/>
  <c r="G94" i="1"/>
  <c r="F94" i="1"/>
  <c r="D94" i="1"/>
  <c r="I94" i="1" s="1"/>
  <c r="C94" i="1"/>
  <c r="I93" i="1"/>
  <c r="H93" i="1"/>
  <c r="G93" i="1"/>
  <c r="F93" i="1"/>
  <c r="D93" i="1"/>
  <c r="C93" i="1"/>
  <c r="G92" i="1"/>
  <c r="H92" i="1" s="1"/>
  <c r="F92" i="1"/>
  <c r="D92" i="1"/>
  <c r="I92" i="1" s="1"/>
  <c r="C92" i="1"/>
  <c r="G91" i="1"/>
  <c r="H91" i="1" s="1"/>
  <c r="F91" i="1"/>
  <c r="D91" i="1"/>
  <c r="I91" i="1" s="1"/>
  <c r="C91" i="1"/>
  <c r="H90" i="1"/>
  <c r="G90" i="1"/>
  <c r="F90" i="1"/>
  <c r="D90" i="1"/>
  <c r="I90" i="1" s="1"/>
  <c r="C90" i="1"/>
  <c r="I89" i="1"/>
  <c r="H89" i="1"/>
  <c r="G89" i="1"/>
  <c r="F89" i="1"/>
  <c r="D89" i="1"/>
  <c r="C89" i="1"/>
  <c r="G88" i="1"/>
  <c r="H88" i="1" s="1"/>
  <c r="F88" i="1"/>
  <c r="D88" i="1"/>
  <c r="I88" i="1" s="1"/>
  <c r="C88" i="1"/>
  <c r="G87" i="1"/>
  <c r="H87" i="1" s="1"/>
  <c r="F87" i="1"/>
  <c r="D87" i="1"/>
  <c r="I87" i="1" s="1"/>
  <c r="C87" i="1"/>
  <c r="H86" i="1"/>
  <c r="G86" i="1"/>
  <c r="F86" i="1"/>
  <c r="D86" i="1"/>
  <c r="I86" i="1" s="1"/>
  <c r="C86" i="1"/>
  <c r="I85" i="1"/>
  <c r="H85" i="1"/>
  <c r="G85" i="1"/>
  <c r="F85" i="1"/>
  <c r="D85" i="1"/>
  <c r="C85" i="1"/>
  <c r="G84" i="1"/>
  <c r="H84" i="1" s="1"/>
  <c r="F84" i="1"/>
  <c r="D84" i="1"/>
  <c r="I84" i="1" s="1"/>
  <c r="C84" i="1"/>
  <c r="G83" i="1"/>
  <c r="H83" i="1" s="1"/>
  <c r="F83" i="1"/>
  <c r="D83" i="1"/>
  <c r="I83" i="1" s="1"/>
  <c r="C83" i="1"/>
  <c r="H82" i="1"/>
  <c r="G82" i="1"/>
  <c r="F82" i="1"/>
  <c r="D82" i="1"/>
  <c r="I82" i="1" s="1"/>
  <c r="C82" i="1"/>
  <c r="I81" i="1"/>
  <c r="H81" i="1"/>
  <c r="G81" i="1"/>
  <c r="F81" i="1"/>
  <c r="D81" i="1"/>
  <c r="C81" i="1"/>
  <c r="G80" i="1"/>
  <c r="H80" i="1" s="1"/>
  <c r="F80" i="1"/>
  <c r="D80" i="1"/>
  <c r="I80" i="1" s="1"/>
  <c r="C80" i="1"/>
  <c r="G79" i="1"/>
  <c r="H79" i="1" s="1"/>
  <c r="F79" i="1"/>
  <c r="D79" i="1"/>
  <c r="I79" i="1" s="1"/>
  <c r="C79" i="1"/>
  <c r="H78" i="1"/>
  <c r="G78" i="1"/>
  <c r="F78" i="1"/>
  <c r="D78" i="1"/>
  <c r="I78" i="1" s="1"/>
  <c r="C78" i="1"/>
  <c r="I77" i="1"/>
  <c r="H77" i="1"/>
  <c r="G77" i="1"/>
  <c r="F77" i="1"/>
  <c r="D77" i="1"/>
  <c r="C77" i="1"/>
  <c r="G76" i="1"/>
  <c r="H76" i="1" s="1"/>
  <c r="F76" i="1"/>
  <c r="D76" i="1"/>
  <c r="I76" i="1" s="1"/>
  <c r="C76" i="1"/>
  <c r="G75" i="1"/>
  <c r="H75" i="1" s="1"/>
  <c r="F75" i="1"/>
  <c r="D75" i="1"/>
  <c r="I75" i="1" s="1"/>
  <c r="C75" i="1"/>
  <c r="H74" i="1"/>
  <c r="G74" i="1"/>
  <c r="F74" i="1"/>
  <c r="D74" i="1"/>
  <c r="I74" i="1" s="1"/>
  <c r="C74" i="1"/>
  <c r="I73" i="1"/>
  <c r="H73" i="1"/>
  <c r="G73" i="1"/>
  <c r="F73" i="1"/>
  <c r="D73" i="1"/>
  <c r="C73" i="1"/>
  <c r="G72" i="1"/>
  <c r="H72" i="1" s="1"/>
  <c r="F72" i="1"/>
  <c r="D72" i="1"/>
  <c r="I72" i="1" s="1"/>
  <c r="C72" i="1"/>
  <c r="G71" i="1"/>
  <c r="H71" i="1" s="1"/>
  <c r="F71" i="1"/>
  <c r="D71" i="1"/>
  <c r="I71" i="1" s="1"/>
  <c r="C71" i="1"/>
  <c r="H70" i="1"/>
  <c r="G70" i="1"/>
  <c r="F70" i="1"/>
  <c r="D70" i="1"/>
  <c r="I70" i="1" s="1"/>
  <c r="C70" i="1"/>
  <c r="I69" i="1"/>
  <c r="H69" i="1"/>
  <c r="G69" i="1"/>
  <c r="F69" i="1"/>
  <c r="D69" i="1"/>
  <c r="C69" i="1"/>
  <c r="I68" i="1"/>
  <c r="G68" i="1"/>
  <c r="H68" i="1" s="1"/>
  <c r="F68" i="1"/>
  <c r="D68" i="1"/>
  <c r="C68" i="1"/>
  <c r="G67" i="1"/>
  <c r="H67" i="1" s="1"/>
  <c r="F67" i="1"/>
  <c r="D67" i="1"/>
  <c r="I67" i="1" s="1"/>
  <c r="C67" i="1"/>
  <c r="H66" i="1"/>
  <c r="G66" i="1"/>
  <c r="F66" i="1"/>
  <c r="D66" i="1"/>
  <c r="I66" i="1" s="1"/>
  <c r="C66" i="1"/>
  <c r="I65" i="1"/>
  <c r="H65" i="1"/>
  <c r="G65" i="1"/>
  <c r="F65" i="1"/>
  <c r="D65" i="1"/>
  <c r="C65" i="1"/>
  <c r="I64" i="1"/>
  <c r="G64" i="1"/>
  <c r="H64" i="1" s="1"/>
  <c r="F64" i="1"/>
  <c r="D64" i="1"/>
  <c r="C64" i="1"/>
  <c r="G63" i="1"/>
  <c r="H63" i="1" s="1"/>
  <c r="F63" i="1"/>
  <c r="D63" i="1"/>
  <c r="I63" i="1" s="1"/>
  <c r="C63" i="1"/>
  <c r="H62" i="1"/>
  <c r="G62" i="1"/>
  <c r="F62" i="1"/>
  <c r="D62" i="1"/>
  <c r="I62" i="1" s="1"/>
  <c r="C62" i="1"/>
  <c r="I61" i="1"/>
  <c r="H61" i="1"/>
  <c r="G61" i="1"/>
  <c r="F61" i="1"/>
  <c r="D61" i="1"/>
  <c r="C61" i="1"/>
  <c r="I60" i="1"/>
  <c r="G60" i="1"/>
  <c r="H60" i="1" s="1"/>
  <c r="F60" i="1"/>
  <c r="D60" i="1"/>
  <c r="C60" i="1"/>
  <c r="G59" i="1"/>
  <c r="H59" i="1" s="1"/>
  <c r="F59" i="1"/>
  <c r="D59" i="1"/>
  <c r="I59" i="1" s="1"/>
  <c r="C59" i="1"/>
  <c r="H58" i="1"/>
  <c r="G58" i="1"/>
  <c r="F58" i="1"/>
  <c r="D58" i="1"/>
  <c r="I58" i="1" s="1"/>
  <c r="C58" i="1"/>
  <c r="I57" i="1"/>
  <c r="H57" i="1"/>
  <c r="G57" i="1"/>
  <c r="F57" i="1"/>
  <c r="D57" i="1"/>
  <c r="C57" i="1"/>
  <c r="I56" i="1"/>
  <c r="G56" i="1"/>
  <c r="H56" i="1" s="1"/>
  <c r="F56" i="1"/>
  <c r="D56" i="1"/>
  <c r="C56" i="1"/>
  <c r="G55" i="1"/>
  <c r="H55" i="1" s="1"/>
  <c r="F55" i="1"/>
  <c r="D55" i="1"/>
  <c r="I55" i="1" s="1"/>
  <c r="C55" i="1"/>
  <c r="H54" i="1"/>
  <c r="G54" i="1"/>
  <c r="F54" i="1"/>
  <c r="D54" i="1"/>
  <c r="I54" i="1" s="1"/>
  <c r="C54" i="1"/>
  <c r="I53" i="1"/>
  <c r="H53" i="1"/>
  <c r="G53" i="1"/>
  <c r="F53" i="1"/>
  <c r="D53" i="1"/>
  <c r="C53" i="1"/>
  <c r="I52" i="1"/>
  <c r="G52" i="1"/>
  <c r="H52" i="1" s="1"/>
  <c r="F52" i="1"/>
  <c r="D52" i="1"/>
  <c r="C52" i="1"/>
  <c r="G51" i="1"/>
  <c r="H51" i="1" s="1"/>
  <c r="F51" i="1"/>
  <c r="D51" i="1"/>
  <c r="I51" i="1" s="1"/>
  <c r="C51" i="1"/>
  <c r="H50" i="1"/>
  <c r="G50" i="1"/>
  <c r="F50" i="1"/>
  <c r="D50" i="1"/>
  <c r="I50" i="1" s="1"/>
  <c r="C50" i="1"/>
  <c r="I49" i="1"/>
  <c r="H49" i="1"/>
  <c r="G49" i="1"/>
  <c r="F49" i="1"/>
  <c r="D49" i="1"/>
  <c r="C49" i="1"/>
  <c r="I48" i="1"/>
  <c r="G48" i="1"/>
  <c r="H48" i="1" s="1"/>
  <c r="F48" i="1"/>
  <c r="D48" i="1"/>
  <c r="C48" i="1"/>
  <c r="G47" i="1"/>
  <c r="H47" i="1" s="1"/>
  <c r="F47" i="1"/>
  <c r="D47" i="1"/>
  <c r="I47" i="1" s="1"/>
  <c r="C47" i="1"/>
  <c r="H46" i="1"/>
  <c r="G46" i="1"/>
  <c r="F46" i="1"/>
  <c r="D46" i="1"/>
  <c r="I46" i="1" s="1"/>
  <c r="C46" i="1"/>
  <c r="I45" i="1"/>
  <c r="H45" i="1"/>
  <c r="G45" i="1"/>
  <c r="F45" i="1"/>
  <c r="D45" i="1"/>
  <c r="C45" i="1"/>
  <c r="I44" i="1"/>
  <c r="G44" i="1"/>
  <c r="H44" i="1" s="1"/>
  <c r="F44" i="1"/>
  <c r="D44" i="1"/>
  <c r="C44" i="1"/>
  <c r="G43" i="1"/>
  <c r="H43" i="1" s="1"/>
  <c r="F43" i="1"/>
  <c r="D43" i="1"/>
  <c r="I43" i="1" s="1"/>
  <c r="C43" i="1"/>
  <c r="H42" i="1"/>
  <c r="G42" i="1"/>
  <c r="F42" i="1"/>
  <c r="D42" i="1"/>
  <c r="I42" i="1" s="1"/>
  <c r="C42" i="1"/>
  <c r="I41" i="1"/>
  <c r="H41" i="1"/>
  <c r="G41" i="1"/>
  <c r="F41" i="1"/>
  <c r="D41" i="1"/>
  <c r="C41" i="1"/>
  <c r="I40" i="1"/>
  <c r="G40" i="1"/>
  <c r="H40" i="1" s="1"/>
  <c r="F40" i="1"/>
  <c r="D40" i="1"/>
  <c r="C40" i="1"/>
  <c r="G39" i="1"/>
  <c r="H39" i="1" s="1"/>
  <c r="F39" i="1"/>
  <c r="D39" i="1"/>
  <c r="I39" i="1" s="1"/>
  <c r="C39" i="1"/>
  <c r="H38" i="1"/>
  <c r="G38" i="1"/>
  <c r="F38" i="1"/>
  <c r="D38" i="1"/>
  <c r="I38" i="1" s="1"/>
  <c r="C38" i="1"/>
  <c r="I37" i="1"/>
  <c r="H37" i="1"/>
  <c r="G37" i="1"/>
  <c r="F37" i="1"/>
  <c r="D37" i="1"/>
  <c r="C37" i="1"/>
  <c r="I36" i="1"/>
  <c r="G36" i="1"/>
  <c r="H36" i="1" s="1"/>
  <c r="F36" i="1"/>
  <c r="D36" i="1"/>
  <c r="C36" i="1"/>
  <c r="G35" i="1"/>
  <c r="H35" i="1" s="1"/>
  <c r="F35" i="1"/>
  <c r="D35" i="1"/>
  <c r="I35" i="1" s="1"/>
  <c r="C35" i="1"/>
  <c r="H34" i="1"/>
  <c r="G34" i="1"/>
  <c r="F34" i="1"/>
  <c r="D34" i="1"/>
  <c r="I34" i="1" s="1"/>
  <c r="C34" i="1"/>
  <c r="I33" i="1"/>
  <c r="H33" i="1"/>
  <c r="G33" i="1"/>
  <c r="F33" i="1"/>
  <c r="D33" i="1"/>
  <c r="C33" i="1"/>
  <c r="I32" i="1"/>
  <c r="G32" i="1"/>
  <c r="H32" i="1" s="1"/>
  <c r="F32" i="1"/>
  <c r="D32" i="1"/>
  <c r="C32" i="1"/>
  <c r="G31" i="1"/>
  <c r="H31" i="1" s="1"/>
  <c r="F31" i="1"/>
  <c r="D31" i="1"/>
  <c r="I31" i="1" s="1"/>
  <c r="C31" i="1"/>
  <c r="H30" i="1"/>
  <c r="G30" i="1"/>
  <c r="F30" i="1"/>
  <c r="D30" i="1"/>
  <c r="I30" i="1" s="1"/>
  <c r="C30" i="1"/>
  <c r="I29" i="1"/>
  <c r="H29" i="1"/>
  <c r="G29" i="1"/>
  <c r="F29" i="1"/>
  <c r="D29" i="1"/>
  <c r="C29" i="1"/>
  <c r="I28" i="1"/>
  <c r="G28" i="1"/>
  <c r="H28" i="1" s="1"/>
  <c r="F28" i="1"/>
  <c r="D28" i="1"/>
  <c r="C28" i="1"/>
  <c r="G27" i="1"/>
  <c r="H27" i="1" s="1"/>
  <c r="F27" i="1"/>
  <c r="D27" i="1"/>
  <c r="I27" i="1" s="1"/>
  <c r="C27" i="1"/>
  <c r="H26" i="1"/>
  <c r="G26" i="1"/>
  <c r="F26" i="1"/>
  <c r="D26" i="1"/>
  <c r="I26" i="1" s="1"/>
  <c r="C26" i="1"/>
  <c r="I25" i="1"/>
  <c r="H25" i="1"/>
  <c r="G25" i="1"/>
  <c r="F25" i="1"/>
  <c r="D25" i="1"/>
  <c r="C25" i="1"/>
  <c r="I24" i="1"/>
  <c r="G24" i="1"/>
  <c r="H24" i="1" s="1"/>
  <c r="F24" i="1"/>
  <c r="D24" i="1"/>
  <c r="C24" i="1"/>
  <c r="G23" i="1"/>
  <c r="H23" i="1" s="1"/>
  <c r="F23" i="1"/>
  <c r="D23" i="1"/>
  <c r="I23" i="1" s="1"/>
  <c r="C23" i="1"/>
  <c r="H22" i="1"/>
  <c r="G22" i="1"/>
  <c r="F22" i="1"/>
  <c r="D22" i="1"/>
  <c r="I22" i="1" s="1"/>
  <c r="C22" i="1"/>
  <c r="I21" i="1"/>
  <c r="H21" i="1"/>
  <c r="G21" i="1"/>
  <c r="F21" i="1"/>
  <c r="D21" i="1"/>
  <c r="C21" i="1"/>
  <c r="I20" i="1"/>
  <c r="G20" i="1"/>
  <c r="H20" i="1" s="1"/>
  <c r="F20" i="1"/>
  <c r="D20" i="1"/>
  <c r="C20" i="1"/>
  <c r="G19" i="1"/>
  <c r="H19" i="1" s="1"/>
  <c r="F19" i="1"/>
  <c r="D19" i="1"/>
  <c r="I19" i="1" s="1"/>
  <c r="C19" i="1"/>
  <c r="H18" i="1"/>
  <c r="G18" i="1"/>
  <c r="F18" i="1"/>
  <c r="D18" i="1"/>
  <c r="I18" i="1" s="1"/>
  <c r="C18" i="1"/>
  <c r="I17" i="1"/>
  <c r="H17" i="1"/>
  <c r="G17" i="1"/>
  <c r="F17" i="1"/>
  <c r="D17" i="1"/>
  <c r="C17" i="1"/>
  <c r="I16" i="1"/>
  <c r="G16" i="1"/>
  <c r="H16" i="1" s="1"/>
  <c r="F16" i="1"/>
  <c r="D16" i="1"/>
  <c r="C16" i="1"/>
  <c r="G15" i="1"/>
  <c r="H15" i="1" s="1"/>
  <c r="F15" i="1"/>
  <c r="D15" i="1"/>
  <c r="I15" i="1" s="1"/>
  <c r="C15" i="1"/>
  <c r="H14" i="1"/>
  <c r="G14" i="1"/>
  <c r="F14" i="1"/>
  <c r="D14" i="1"/>
  <c r="I14" i="1" s="1"/>
  <c r="C14" i="1"/>
  <c r="I13" i="1"/>
  <c r="H13" i="1"/>
  <c r="G13" i="1"/>
  <c r="F13" i="1"/>
  <c r="D13" i="1"/>
  <c r="C13" i="1"/>
  <c r="I12" i="1"/>
  <c r="G12" i="1"/>
  <c r="H12" i="1" s="1"/>
  <c r="F12" i="1"/>
  <c r="D12" i="1"/>
  <c r="C12" i="1"/>
  <c r="G11" i="1"/>
  <c r="H11" i="1" s="1"/>
  <c r="F11" i="1"/>
  <c r="D11" i="1"/>
  <c r="I11" i="1" s="1"/>
  <c r="C11" i="1"/>
  <c r="H10" i="1"/>
  <c r="G10" i="1"/>
  <c r="F10" i="1"/>
  <c r="D10" i="1"/>
  <c r="I10" i="1" s="1"/>
  <c r="C10" i="1"/>
  <c r="I9" i="1"/>
  <c r="H9" i="1"/>
  <c r="G9" i="1"/>
  <c r="F9" i="1"/>
  <c r="D9" i="1"/>
  <c r="C9" i="1"/>
  <c r="I8" i="1"/>
  <c r="G8" i="1"/>
  <c r="H8" i="1" s="1"/>
  <c r="F8" i="1"/>
  <c r="D8" i="1"/>
  <c r="C8" i="1"/>
  <c r="G7" i="1"/>
  <c r="H7" i="1" s="1"/>
  <c r="F7" i="1"/>
  <c r="D7" i="1"/>
  <c r="I7" i="1" s="1"/>
  <c r="C7" i="1"/>
  <c r="H6" i="1"/>
  <c r="G6" i="1"/>
  <c r="F6" i="1"/>
  <c r="D6" i="1"/>
  <c r="I6" i="1" s="1"/>
  <c r="C6" i="1"/>
  <c r="I5" i="1"/>
  <c r="H5" i="1"/>
  <c r="G5" i="1"/>
  <c r="F5" i="1"/>
  <c r="D5" i="1"/>
  <c r="C5" i="1"/>
  <c r="I4" i="1"/>
  <c r="G4" i="1"/>
  <c r="H4" i="1" s="1"/>
  <c r="F4" i="1"/>
  <c r="D4" i="1"/>
  <c r="C4" i="1"/>
  <c r="G3" i="1"/>
  <c r="H3" i="1" s="1"/>
  <c r="F3" i="1"/>
  <c r="D3" i="1"/>
  <c r="I3" i="1" s="1"/>
  <c r="C3" i="1"/>
  <c r="I2" i="1"/>
  <c r="H2" i="1"/>
  <c r="E10" i="2" l="1"/>
</calcChain>
</file>

<file path=xl/sharedStrings.xml><?xml version="1.0" encoding="utf-8"?>
<sst xmlns="http://schemas.openxmlformats.org/spreadsheetml/2006/main" count="544" uniqueCount="542">
  <si>
    <t>Date</t>
  </si>
  <si>
    <t>Nifty Price (interpolated)</t>
  </si>
  <si>
    <t>Nifty Daily Return %</t>
  </si>
  <si>
    <t>Nifty Cumulative %</t>
  </si>
  <si>
    <t>Rising YEP Net Asset (hypothetical)</t>
  </si>
  <si>
    <t>Rising YEP Daily Return %</t>
  </si>
  <si>
    <t>Rising YEP Cumulative %</t>
  </si>
  <si>
    <t>Rising YEP Net Asset Value (₹)</t>
  </si>
  <si>
    <t>Nifty-equivalent Value (₹)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</si>
  <si>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</si>
  <si>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</si>
  <si>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</si>
  <si>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</si>
  <si>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</si>
  <si>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</si>
  <si>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</si>
  <si>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</si>
  <si>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</si>
  <si>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</si>
  <si>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</si>
  <si>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</si>
  <si>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</si>
  <si>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</si>
  <si>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</si>
  <si>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</si>
  <si>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</si>
  <si>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</si>
  <si>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</si>
  <si>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</si>
  <si>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</si>
  <si>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</si>
  <si>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</si>
  <si>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</si>
  <si>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</si>
  <si>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</si>
  <si>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</si>
  <si>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</si>
  <si>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</si>
  <si>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</si>
  <si>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</si>
  <si>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</si>
  <si>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</si>
  <si>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</si>
  <si>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</si>
  <si>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</si>
  <si>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</si>
  <si>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</si>
  <si>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</si>
  <si>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</si>
  <si>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</si>
  <si>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</si>
  <si>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</si>
  <si>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</si>
  <si>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</si>
  <si>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</si>
  <si>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</si>
  <si>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</si>
  <si>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</si>
  <si>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</si>
  <si>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</si>
  <si>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</si>
  <si>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</si>
  <si>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</si>
  <si>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</si>
  <si>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</si>
  <si>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</si>
  <si>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</si>
  <si>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</si>
  <si>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</si>
  <si>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</si>
  <si>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</si>
  <si>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</si>
  <si>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</si>
  <si>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</si>
  <si>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</si>
  <si>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</si>
  <si>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</si>
  <si>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</si>
  <si>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</si>
  <si>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</si>
  <si>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</si>
  <si>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</si>
  <si>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</si>
  <si>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</si>
  <si>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</si>
  <si>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</si>
  <si>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</si>
  <si>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</si>
  <si>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</si>
  <si>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</si>
  <si>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</si>
  <si>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</si>
  <si>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</si>
  <si>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</si>
  <si>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</si>
  <si>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</si>
  <si>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</si>
  <si>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</si>
  <si>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</si>
  <si>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</si>
  <si>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</si>
  <si>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</si>
  <si>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</si>
  <si>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</si>
  <si>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</si>
  <si>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</si>
  <si>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</si>
  <si>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</si>
  <si>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</si>
  <si>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</si>
  <si>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</si>
  <si>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</si>
  <si>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</si>
  <si>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</si>
  <si>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</si>
  <si>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</si>
  <si>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</si>
  <si>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</si>
  <si>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</si>
  <si>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</si>
  <si>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</si>
  <si>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</si>
  <si>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</si>
  <si>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</si>
  <si>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</si>
  <si>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</si>
  <si>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</si>
  <si>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</si>
  <si>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</si>
  <si>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</si>
  <si>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</si>
  <si>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</si>
  <si>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</si>
  <si>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</si>
  <si>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</si>
  <si>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</si>
  <si>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</si>
  <si>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</si>
  <si>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</si>
  <si>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</si>
  <si>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</si>
  <si>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</si>
  <si>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</si>
  <si>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</si>
  <si>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</si>
  <si>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</si>
  <si>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</si>
  <si>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</si>
  <si>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</si>
  <si>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</si>
  <si>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</si>
  <si>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</si>
  <si>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</si>
  <si>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</si>
  <si>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</si>
  <si>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</si>
  <si>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</si>
  <si>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</si>
  <si>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</si>
  <si>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</si>
  <si>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</si>
  <si>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</si>
  <si>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</si>
  <si>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</si>
  <si>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</si>
  <si>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</si>
  <si>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</si>
  <si>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</si>
  <si>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</si>
  <si>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</si>
  <si>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</si>
  <si>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</si>
  <si>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</si>
  <si>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</si>
  <si>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</si>
  <si>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</si>
  <si>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</si>
  <si>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</si>
  <si>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</si>
  <si>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</si>
  <si>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</si>
  <si>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</si>
  <si>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</si>
  <si>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</si>
  <si>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</si>
  <si>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</si>
  <si>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</si>
  <si>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</si>
  <si>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</si>
  <si>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</si>
  <si>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</si>
  <si>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</si>
  <si>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</si>
  <si>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</si>
  <si>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</si>
  <si>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</si>
  <si>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</si>
  <si>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</si>
  <si>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</si>
  <si>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</si>
  <si>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</si>
  <si>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</si>
  <si>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</si>
  <si>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</si>
  <si>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</si>
  <si>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</si>
  <si>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</si>
  <si>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</si>
  <si>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</si>
  <si>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</si>
  <si>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</si>
  <si>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</si>
  <si>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</si>
  <si>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</si>
  <si>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</si>
  <si>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</si>
  <si>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</si>
  <si>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</si>
  <si>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</si>
  <si>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</si>
  <si>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</si>
  <si>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</si>
  <si>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</si>
  <si>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</si>
  <si>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</si>
  <si>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</si>
  <si>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</si>
  <si>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</si>
  <si>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</si>
  <si>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</si>
  <si>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</si>
  <si>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</si>
  <si>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</si>
  <si>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</si>
  <si>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</si>
  <si>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</si>
  <si>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</si>
  <si>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</si>
  <si>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</si>
  <si>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</si>
  <si>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</si>
  <si>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</si>
  <si>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</si>
  <si>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</si>
  <si>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</si>
  <si>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</si>
  <si>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</si>
  <si>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</si>
  <si>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</si>
  <si>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</si>
  <si>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</si>
  <si>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</si>
  <si>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</si>
  <si>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</si>
  <si>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</si>
  <si>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</si>
  <si>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</si>
  <si>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</si>
  <si>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</si>
  <si>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</si>
  <si>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</si>
  <si>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</si>
  <si>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</si>
  <si>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</si>
  <si>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</si>
  <si>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</si>
  <si>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</si>
  <si>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</si>
  <si>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</si>
  <si>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</si>
  <si>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</si>
  <si>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</si>
  <si>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</si>
  <si>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</si>
  <si>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</si>
  <si>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</si>
  <si>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</si>
  <si>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</si>
  <si>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</si>
  <si>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</si>
  <si>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</si>
  <si>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</si>
  <si>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</si>
  <si>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</si>
  <si>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</si>
  <si>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</si>
  <si>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</si>
  <si>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</si>
  <si>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</si>
  <si>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</si>
  <si>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</si>
  <si>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</si>
  <si>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</si>
  <si>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</si>
  <si>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</si>
  <si>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</si>
  <si>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</si>
  <si>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</si>
  <si>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</si>
  <si>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</si>
  <si>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</si>
  <si>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</si>
  <si>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</si>
  <si>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</si>
  <si>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</si>
  <si>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</si>
  <si>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</si>
  <si>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</si>
  <si>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</si>
  <si>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</si>
  <si>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</si>
  <si>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</si>
  <si>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</si>
  <si>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</si>
  <si>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</si>
  <si>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</si>
  <si>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</si>
  <si>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</si>
  <si>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</si>
  <si>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</si>
  <si>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</si>
  <si>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</si>
  <si>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</si>
  <si>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</si>
  <si>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</si>
  <si>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</si>
  <si>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</si>
  <si>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</si>
  <si>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</si>
  <si>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</si>
  <si>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</si>
  <si>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</si>
  <si>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</si>
  <si>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</si>
  <si>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</si>
  <si>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</si>
  <si>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</si>
  <si>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</si>
  <si>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</si>
  <si>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</si>
  <si>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</si>
  <si>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</si>
  <si>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</si>
  <si>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</si>
  <si>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</si>
  <si>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</si>
  <si>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</si>
  <si>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</si>
  <si>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</si>
  <si>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</si>
  <si>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</si>
  <si>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</si>
  <si>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</si>
  <si>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</si>
  <si>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</si>
  <si>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</si>
  <si>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</si>
  <si>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</si>
  <si>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</si>
  <si>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</si>
  <si>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</si>
  <si>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</si>
  <si>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</si>
  <si>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</si>
  <si>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</si>
  <si>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</si>
  <si>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</si>
  <si>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</si>
  <si>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</si>
  <si>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</si>
  <si>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</si>
  <si>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</si>
  <si>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</si>
  <si>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</si>
  <si>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</si>
  <si>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</si>
  <si>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</si>
  <si>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</si>
  <si>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</si>
  <si>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</si>
  <si>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</si>
  <si>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</si>
  <si>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</si>
  <si>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</si>
  <si>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</si>
  <si>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</si>
  <si>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</si>
  <si>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</si>
  <si>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</si>
  <si>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</si>
  <si>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</si>
  <si>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</si>
  <si>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</si>
  <si>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</si>
  <si>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</si>
  <si>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</si>
  <si>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</si>
  <si>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</si>
  <si>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</si>
  <si>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</si>
  <si>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</si>
  <si>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</si>
  <si>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</si>
  <si>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</si>
  <si>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</si>
  <si>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</si>
  <si>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</si>
  <si>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</si>
  <si>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</si>
  <si>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</si>
  <si>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</si>
  <si>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</si>
  <si>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</si>
  <si>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</si>
  <si>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</si>
  <si>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</si>
  <si>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</si>
  <si>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</si>
  <si>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</si>
  <si>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</si>
  <si>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</si>
  <si>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</si>
  <si>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</si>
  <si>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</si>
  <si>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</si>
  <si>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</si>
  <si>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</si>
  <si>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</si>
  <si>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</si>
  <si>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</si>
  <si>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</si>
  <si>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</si>
  <si>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</si>
  <si>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</si>
  <si>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</si>
  <si>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</si>
  <si>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</si>
  <si>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</si>
  <si>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</si>
  <si>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</si>
  <si>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</si>
  <si>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</si>
  <si>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</si>
  <si>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</si>
  <si>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</si>
  <si>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</si>
  <si>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</si>
  <si>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</si>
  <si>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</si>
  <si>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</si>
  <si>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</si>
  <si>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</si>
  <si>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</si>
  <si>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</si>
  <si>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</si>
  <si>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</si>
  <si>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</si>
  <si>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</si>
  <si>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</si>
  <si>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</si>
  <si>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</si>
  <si>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</si>
  <si>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</si>
  <si>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</si>
  <si>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</si>
  <si>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</si>
  <si>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</si>
  <si>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</si>
  <si>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</si>
  <si>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</si>
  <si>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</si>
  <si>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</si>
  <si>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</si>
  <si>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</si>
  <si>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</si>
  <si>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</si>
  <si>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</si>
  <si>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</si>
  <si>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</si>
  <si>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</si>
  <si>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</si>
  <si>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</si>
  <si>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</si>
  <si>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</si>
  <si>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</si>
  <si>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</si>
  <si>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</si>
  <si>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</si>
  <si>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</si>
  <si>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</si>
  <si>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</si>
  <si>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</si>
  <si>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</si>
  <si>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</si>
  <si>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</si>
  <si>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</si>
  <si>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</si>
  <si>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</si>
  <si>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</si>
  <si>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</si>
  <si>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</si>
  <si>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</si>
  <si>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</si>
  <si>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</si>
  <si>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</si>
  <si>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</si>
  <si>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</si>
  <si>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</si>
  <si>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</si>
  <si>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</si>
  <si>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</si>
  <si>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</si>
  <si>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</si>
  <si>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</si>
  <si>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</si>
  <si>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</si>
  <si>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</si>
  <si>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</si>
  <si>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</si>
  <si>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</si>
  <si>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</si>
  <si>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</si>
  <si>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</si>
  <si>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</si>
  <si>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</si>
  <si>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</si>
  <si>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</si>
  <si>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</si>
  <si>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</si>
  <si>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</si>
  <si>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</si>
  <si>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2026-05-01</t>
  </si>
  <si>
    <t>Cumulative Performance — Rising YEP vs Nifty</t>
  </si>
  <si>
    <t>Start Date</t>
  </si>
  <si>
    <t>End Date</t>
  </si>
  <si>
    <t>Nifty Index — Cumulative Return</t>
  </si>
  <si>
    <t>Rising YEP Net Asset — Cumulative Return</t>
  </si>
  <si>
    <t>Outperformance (Rising YEP − Nifty)</t>
  </si>
  <si>
    <t>Initial Investment (₹) — as of 01-May-2024</t>
  </si>
  <si>
    <t>Absolute Gain — Rising YEP (₹)</t>
  </si>
  <si>
    <t>Absolute Gain — Nifty-equivalent (₹)</t>
  </si>
  <si>
    <t>, 01 May 2024 – 01 May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</si>
</sst>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\₹###,##0"/>
    <numFmt numFmtId="166" formatCode="\+0.00%;\-0.00%"/>
  </numFmts>
  <fonts count="11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4"/>
      <color rgb="FF1A1A2E"/>
      <name val="Arial"/>
      <family val="2"/>
    </font>
    <font>
      <i/>
      <sz val="10"/>
      <color rgb="FF5B5B6B"/>
      <name val="Arial"/>
      <family val="2"/>
    </font>
    <font>
      <b/>
      <sz val="10.5"/>
      <color rgb="FF1A1A2E"/>
      <name val="Arial"/>
      <family val="2"/>
    </font>
    <font>
      <b/>
      <sz val="12"/>
      <color rgb="FF1A1A2E"/>
      <name val="Arial"/>
      <family val="2"/>
    </font>
    <font>
      <b/>
      <sz val="12"/>
      <color rgb="FF16A34A"/>
      <name val="Arial"/>
      <family val="2"/>
    </font>
    <font>
      <b/>
      <sz val="12"/>
      <color rgb="FF0000FF"/>
      <name val="Arial"/>
      <family val="2"/>
    </font>
    <font>
      <b/>
      <sz val="12"/>
      <color rgb="FF2563EB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B0A3D"/>
        <bgColor rgb="FF800000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/>
    </xf>
    <xf numFmtId="164" fontId="2" fillId="0" borderId="0" xfId="0" applyNumberFormat="1" applyFont="1"/>
    <xf numFmtId="4" fontId="3" fillId="0" borderId="0" xfId="0" applyNumberFormat="1" applyFont="1"/>
    <xf numFmtId="10" fontId="2" fillId="0" borderId="0" xfId="0" applyNumberFormat="1" applyFont="1"/>
    <xf numFmtId="165" fontId="2" fillId="0" borderId="0" xfId="0" applyNumberFormat="1" applyFont="1"/>
    <xf numFmtId="164" fontId="2" fillId="3" borderId="0" xfId="0" applyNumberFormat="1" applyFont="1" applyFill="1"/>
    <xf numFmtId="4" fontId="3" fillId="3" borderId="0" xfId="0" applyNumberFormat="1" applyFont="1" applyFill="1"/>
    <xf numFmtId="10" fontId="2" fillId="3" borderId="0" xfId="0" applyNumberFormat="1" applyFont="1" applyFill="1"/>
    <xf numFmtId="165" fontId="2" fillId="3" borderId="0" xfId="0" applyNumberFormat="1" applyFont="1" applyFill="1"/>
    <xf numFmtId="0" fontId="4" fillId="0" borderId="0" xfId="0" applyFont="1"/>
    <xf numFmtId="0" fontId="5" fillId="0" borderId="0" xfId="0" applyFont="1"/>
    <xf numFmtId="0" fontId="6" fillId="0" borderId="0" xfId="0" applyFont="1"/>
    <xf numFmtId="164" fontId="7" fillId="0" borderId="0" xfId="0" applyNumberFormat="1" applyFont="1"/>
    <xf numFmtId="166" fontId="8" fillId="0" borderId="0" xfId="0" applyNumberFormat="1" applyFont="1"/>
    <xf numFmtId="165" fontId="9" fillId="4" borderId="0" xfId="0" applyNumberFormat="1" applyFont="1" applyFill="1"/>
    <xf numFmtId="165" fontId="8" fillId="0" borderId="0" xfId="0" applyNumberFormat="1" applyFont="1"/>
    <xf numFmtId="165" fontId="1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A3D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5B5B6B"/>
      <rgbColor rgb="FF969696"/>
      <rgbColor rgb="FF003366"/>
      <rgbColor rgb="FF16A34A"/>
      <rgbColor rgb="FF003300"/>
      <rgbColor rgb="FF333300"/>
      <rgbColor rgb="FF993300"/>
      <rgbColor rgb="FF993366"/>
      <rgbColor rgb="FF333399"/>
      <rgbColor rgb="FF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4"/>
  <sheetViews>
    <sheetView zoomScaleNormal="100" workbookViewId="0">
      <pane ySplit="1" topLeftCell="A2" activePane="bottomLeft" state="frozen"/>
      <selection pane="bottomLeft" activeCell="I9" sqref="I9"/>
    </sheetView>
  </sheetViews>
  <sheetFormatPr defaultColWidth="8.7109375" defaultRowHeight="15" x14ac:dyDescent="0.25"/>
  <cols>
    <col min="1" max="1" width="14" customWidth="1"/>
    <col min="2" max="2" width="24" customWidth="1"/>
    <col min="3" max="3" width="18" customWidth="1"/>
    <col min="4" max="4" width="16" customWidth="1"/>
    <col min="5" max="5" width="26" customWidth="1"/>
    <col min="6" max="6" width="18" customWidth="1"/>
    <col min="7" max="7" width="16" customWidth="1"/>
    <col min="8" max="9" width="24" customWidth="1"/>
  </cols>
  <sheetData>
    <row r="1" spans="1:9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" customHeight="1" x14ac:dyDescent="0.25">
      <c r="A2" s="2" t="s">
        <v>9</v>
      </c>
      <c r="B2" s="3">
        <v>22702.05</v>
      </c>
      <c r="C2" s="4">
        <v>0</v>
      </c>
      <c r="D2" s="4">
        <v>0</v>
      </c>
      <c r="E2" s="3">
        <v>1000</v>
      </c>
      <c r="F2" s="4">
        <v>0</v>
      </c>
      <c r="G2" s="4">
        <v>0</v>
      </c>
      <c r="H2" s="5">
        <f>Summary!$E$12*(1+G2)</f>
        <v>4800000</v>
      </c>
      <c r="I2" s="5">
        <f>Summary!$E$12*(1+D2)</f>
        <v>4800000</v>
      </c>
    </row>
    <row r="3" spans="1:9" ht="15" customHeight="1" x14ac:dyDescent="0.25">
      <c r="A3" s="6" t="s">
        <v>10</v>
      </c>
      <c r="B3" s="7">
        <v>22704.82</v>
      </c>
      <c r="C3" s="8">
        <f t="shared" ref="C3:C66" si="0">B3/B2-1</f>
        <v>1.2201541270506766E-4</v>
      </c>
      <c r="D3" s="8">
        <f t="shared" ref="D3:D66" si="1">B3/$B$2-1</f>
        <v>1.2201541270506766E-4</v>
      </c>
      <c r="E3" s="7">
        <v>1001.89</v>
      </c>
      <c r="F3" s="8">
        <f t="shared" ref="F3:F66" si="2">E3/E2-1</f>
        <v>1.8899999999999473E-3</v>
      </c>
      <c r="G3" s="8">
        <f t="shared" ref="G3:G66" si="3">E3/$E$2-1</f>
        <v>1.8899999999999473E-3</v>
      </c>
      <c r="H3" s="9">
        <f>Summary!$E$12*(1+G3)</f>
        <v>4809072</v>
      </c>
      <c r="I3" s="9">
        <f>Summary!$E$12*(1+D3)</f>
        <v>4800585.6739809839</v>
      </c>
    </row>
    <row r="4" spans="1:9" ht="15" customHeight="1" x14ac:dyDescent="0.25">
      <c r="A4" s="2" t="s">
        <v>11</v>
      </c>
      <c r="B4" s="3">
        <v>22699.25</v>
      </c>
      <c r="C4" s="4">
        <f t="shared" si="0"/>
        <v>-2.453223588647635E-4</v>
      </c>
      <c r="D4" s="4">
        <f t="shared" si="1"/>
        <v>-1.2333687926857628E-4</v>
      </c>
      <c r="E4" s="3">
        <v>1002.5</v>
      </c>
      <c r="F4" s="4">
        <f t="shared" si="2"/>
        <v>6.0884927487059315E-4</v>
      </c>
      <c r="G4" s="4">
        <f t="shared" si="3"/>
        <v>2.4999999999999467E-3</v>
      </c>
      <c r="H4" s="5">
        <f>Summary!$E$12*(1+G4)</f>
        <v>4812000</v>
      </c>
      <c r="I4" s="5">
        <f>Summary!$E$12*(1+D4)</f>
        <v>4799407.9829795109</v>
      </c>
    </row>
    <row r="5" spans="1:9" ht="15" customHeight="1" x14ac:dyDescent="0.25">
      <c r="A5" s="6" t="s">
        <v>12</v>
      </c>
      <c r="B5" s="7">
        <v>22856.5</v>
      </c>
      <c r="C5" s="8">
        <f t="shared" si="0"/>
        <v>6.9275416588654437E-3</v>
      </c>
      <c r="D5" s="8">
        <f t="shared" si="1"/>
        <v>6.8033503582276555E-3</v>
      </c>
      <c r="E5" s="7">
        <v>1004.23</v>
      </c>
      <c r="F5" s="8">
        <f t="shared" si="2"/>
        <v>1.725685785536113E-3</v>
      </c>
      <c r="G5" s="8">
        <f t="shared" si="3"/>
        <v>4.229999999999956E-3</v>
      </c>
      <c r="H5" s="9">
        <f>Summary!$E$12*(1+G5)</f>
        <v>4820304</v>
      </c>
      <c r="I5" s="9">
        <f>Summary!$E$12*(1+D5)</f>
        <v>4832656.0817194926</v>
      </c>
    </row>
    <row r="6" spans="1:9" ht="15" customHeight="1" x14ac:dyDescent="0.25">
      <c r="A6" s="2" t="s">
        <v>13</v>
      </c>
      <c r="B6" s="3">
        <v>22689.17</v>
      </c>
      <c r="C6" s="4">
        <f t="shared" si="0"/>
        <v>-7.3208934001269821E-3</v>
      </c>
      <c r="D6" s="4">
        <f t="shared" si="1"/>
        <v>-5.6734964463567295E-4</v>
      </c>
      <c r="E6" s="3">
        <v>1001.34</v>
      </c>
      <c r="F6" s="4">
        <f t="shared" si="2"/>
        <v>-2.8778267926670154E-3</v>
      </c>
      <c r="G6" s="4">
        <f t="shared" si="3"/>
        <v>1.3400000000001189E-3</v>
      </c>
      <c r="H6" s="5">
        <f>Summary!$E$12*(1+G6)</f>
        <v>4806432.0000000009</v>
      </c>
      <c r="I6" s="5">
        <f>Summary!$E$12*(1+D6)</f>
        <v>4797276.7217057487</v>
      </c>
    </row>
    <row r="7" spans="1:9" ht="15" customHeight="1" x14ac:dyDescent="0.25">
      <c r="A7" s="6" t="s">
        <v>14</v>
      </c>
      <c r="B7" s="7">
        <v>22804.400000000001</v>
      </c>
      <c r="C7" s="8">
        <f t="shared" si="0"/>
        <v>5.07863443219847E-3</v>
      </c>
      <c r="D7" s="8">
        <f t="shared" si="1"/>
        <v>4.5084034261224648E-3</v>
      </c>
      <c r="E7" s="7">
        <v>1002.37</v>
      </c>
      <c r="F7" s="8">
        <f t="shared" si="2"/>
        <v>1.0286216469930221E-3</v>
      </c>
      <c r="G7" s="8">
        <f t="shared" si="3"/>
        <v>2.3699999999999832E-3</v>
      </c>
      <c r="H7" s="9">
        <f>Summary!$E$12*(1+G7)</f>
        <v>4811376</v>
      </c>
      <c r="I7" s="9">
        <f>Summary!$E$12*(1+D7)</f>
        <v>4821640.3364453875</v>
      </c>
    </row>
    <row r="8" spans="1:9" ht="15" customHeight="1" x14ac:dyDescent="0.25">
      <c r="A8" s="2" t="s">
        <v>15</v>
      </c>
      <c r="B8" s="3">
        <v>22573.78</v>
      </c>
      <c r="C8" s="4">
        <f t="shared" si="0"/>
        <v>-1.0112960656715519E-2</v>
      </c>
      <c r="D8" s="4">
        <f t="shared" si="1"/>
        <v>-5.6501505370660787E-3</v>
      </c>
      <c r="E8" s="3">
        <v>1000.28</v>
      </c>
      <c r="F8" s="4">
        <f t="shared" si="2"/>
        <v>-2.0850584115645887E-3</v>
      </c>
      <c r="G8" s="4">
        <f t="shared" si="3"/>
        <v>2.8000000000005798E-4</v>
      </c>
      <c r="H8" s="5">
        <f>Summary!$E$12*(1+G8)</f>
        <v>4801344</v>
      </c>
      <c r="I8" s="5">
        <f>Summary!$E$12*(1+D8)</f>
        <v>4772879.2774220826</v>
      </c>
    </row>
    <row r="9" spans="1:9" ht="15" customHeight="1" x14ac:dyDescent="0.25">
      <c r="A9" s="6" t="s">
        <v>16</v>
      </c>
      <c r="B9" s="7">
        <v>22555</v>
      </c>
      <c r="C9" s="8">
        <f t="shared" si="0"/>
        <v>-8.3193864740416235E-4</v>
      </c>
      <c r="D9" s="8">
        <f t="shared" si="1"/>
        <v>-6.4773886058747676E-3</v>
      </c>
      <c r="E9" s="7">
        <v>1000.3</v>
      </c>
      <c r="F9" s="8">
        <f t="shared" si="2"/>
        <v>1.9994401567524633E-5</v>
      </c>
      <c r="G9" s="8">
        <f t="shared" si="3"/>
        <v>2.9999999999996696E-4</v>
      </c>
      <c r="H9" s="9">
        <f>Summary!$E$12*(1+G9)</f>
        <v>4801440</v>
      </c>
      <c r="I9" s="9">
        <f>Summary!$E$12*(1+D9)</f>
        <v>4768908.5346918013</v>
      </c>
    </row>
    <row r="10" spans="1:9" ht="15" customHeight="1" x14ac:dyDescent="0.25">
      <c r="A10" s="2" t="s">
        <v>17</v>
      </c>
      <c r="B10" s="3">
        <v>22532.23</v>
      </c>
      <c r="C10" s="4">
        <f t="shared" si="0"/>
        <v>-1.0095322544890761E-3</v>
      </c>
      <c r="D10" s="4">
        <f t="shared" si="1"/>
        <v>-7.4803817276413165E-3</v>
      </c>
      <c r="E10" s="3">
        <v>999.79</v>
      </c>
      <c r="F10" s="4">
        <f t="shared" si="2"/>
        <v>-5.0984704588619145E-4</v>
      </c>
      <c r="G10" s="4">
        <f t="shared" si="3"/>
        <v>-2.1000000000004349E-4</v>
      </c>
      <c r="H10" s="5">
        <f>Summary!$E$12*(1+G10)</f>
        <v>4798992</v>
      </c>
      <c r="I10" s="5">
        <f>Summary!$E$12*(1+D10)</f>
        <v>4764094.1677073212</v>
      </c>
    </row>
    <row r="11" spans="1:9" ht="15" customHeight="1" x14ac:dyDescent="0.25">
      <c r="A11" s="6" t="s">
        <v>18</v>
      </c>
      <c r="B11" s="7">
        <v>22700.46</v>
      </c>
      <c r="C11" s="8">
        <f t="shared" si="0"/>
        <v>7.4661939807998401E-3</v>
      </c>
      <c r="D11" s="8">
        <f t="shared" si="1"/>
        <v>-7.0037727870397859E-5</v>
      </c>
      <c r="E11" s="7">
        <v>1001.5</v>
      </c>
      <c r="F11" s="8">
        <f t="shared" si="2"/>
        <v>1.7103591754268344E-3</v>
      </c>
      <c r="G11" s="8">
        <f t="shared" si="3"/>
        <v>1.5000000000000568E-3</v>
      </c>
      <c r="H11" s="9">
        <f>Summary!$E$12*(1+G11)</f>
        <v>4807200</v>
      </c>
      <c r="I11" s="9">
        <f>Summary!$E$12*(1+D11)</f>
        <v>4799663.8189062225</v>
      </c>
    </row>
    <row r="12" spans="1:9" ht="15" customHeight="1" x14ac:dyDescent="0.25">
      <c r="A12" s="2" t="s">
        <v>19</v>
      </c>
      <c r="B12" s="3">
        <v>22708.77</v>
      </c>
      <c r="C12" s="4">
        <f t="shared" si="0"/>
        <v>3.6607187695758547E-4</v>
      </c>
      <c r="D12" s="4">
        <f t="shared" si="1"/>
        <v>2.9600851024480512E-4</v>
      </c>
      <c r="E12" s="3">
        <v>1001.41</v>
      </c>
      <c r="F12" s="4">
        <f t="shared" si="2"/>
        <v>-8.9865202196781624E-5</v>
      </c>
      <c r="G12" s="4">
        <f t="shared" si="3"/>
        <v>1.4099999999999113E-3</v>
      </c>
      <c r="H12" s="5">
        <f>Summary!$E$12*(1+G12)</f>
        <v>4806768</v>
      </c>
      <c r="I12" s="5">
        <f>Summary!$E$12*(1+D12)</f>
        <v>4801420.8408491751</v>
      </c>
    </row>
    <row r="13" spans="1:9" ht="15" customHeight="1" x14ac:dyDescent="0.25">
      <c r="A13" s="6" t="s">
        <v>20</v>
      </c>
      <c r="B13" s="7">
        <v>22632.65</v>
      </c>
      <c r="C13" s="8">
        <f t="shared" si="0"/>
        <v>-3.3520089375161932E-3</v>
      </c>
      <c r="D13" s="8">
        <f t="shared" si="1"/>
        <v>-3.0569926504433464E-3</v>
      </c>
      <c r="E13" s="7">
        <v>999.81</v>
      </c>
      <c r="F13" s="8">
        <f t="shared" si="2"/>
        <v>-1.5977471764812012E-3</v>
      </c>
      <c r="G13" s="8">
        <f t="shared" si="3"/>
        <v>-1.9000000000002348E-4</v>
      </c>
      <c r="H13" s="9">
        <f>Summary!$E$12*(1+G13)</f>
        <v>4799088</v>
      </c>
      <c r="I13" s="9">
        <f>Summary!$E$12*(1+D13)</f>
        <v>4785326.4352778718</v>
      </c>
    </row>
    <row r="14" spans="1:9" ht="15" customHeight="1" x14ac:dyDescent="0.25">
      <c r="A14" s="2" t="s">
        <v>21</v>
      </c>
      <c r="B14" s="3">
        <v>22836.37</v>
      </c>
      <c r="C14" s="4">
        <f t="shared" si="0"/>
        <v>9.0011554104356684E-3</v>
      </c>
      <c r="D14" s="4">
        <f t="shared" si="1"/>
        <v>5.9166462940571929E-3</v>
      </c>
      <c r="E14" s="3">
        <v>1002.67</v>
      </c>
      <c r="F14" s="4">
        <f t="shared" si="2"/>
        <v>2.860543503265589E-3</v>
      </c>
      <c r="G14" s="4">
        <f t="shared" si="3"/>
        <v>2.6699999999999502E-3</v>
      </c>
      <c r="H14" s="5">
        <f>Summary!$E$12*(1+G14)</f>
        <v>4812816</v>
      </c>
      <c r="I14" s="5">
        <f>Summary!$E$12*(1+D14)</f>
        <v>4828399.9022114743</v>
      </c>
    </row>
    <row r="15" spans="1:9" ht="15" customHeight="1" x14ac:dyDescent="0.25">
      <c r="A15" s="6" t="s">
        <v>22</v>
      </c>
      <c r="B15" s="7">
        <v>23075.86</v>
      </c>
      <c r="C15" s="8">
        <f t="shared" si="0"/>
        <v>1.0487218415186073E-2</v>
      </c>
      <c r="D15" s="8">
        <f t="shared" si="1"/>
        <v>1.6465913871214433E-2</v>
      </c>
      <c r="E15" s="7">
        <v>1005.83</v>
      </c>
      <c r="F15" s="8">
        <f t="shared" si="2"/>
        <v>3.1515852673362765E-3</v>
      </c>
      <c r="G15" s="8">
        <f t="shared" si="3"/>
        <v>5.8300000000000018E-3</v>
      </c>
      <c r="H15" s="9">
        <f>Summary!$E$12*(1+G15)</f>
        <v>4827984</v>
      </c>
      <c r="I15" s="9">
        <f>Summary!$E$12*(1+D15)</f>
        <v>4879036.3865818288</v>
      </c>
    </row>
    <row r="16" spans="1:9" ht="15" customHeight="1" x14ac:dyDescent="0.25">
      <c r="A16" s="2" t="s">
        <v>23</v>
      </c>
      <c r="B16" s="3">
        <v>22987.67</v>
      </c>
      <c r="C16" s="4">
        <f t="shared" si="0"/>
        <v>-3.8217427216148403E-3</v>
      </c>
      <c r="D16" s="4">
        <f t="shared" si="1"/>
        <v>1.2581242663107561E-2</v>
      </c>
      <c r="E16" s="3">
        <v>1006.87</v>
      </c>
      <c r="F16" s="4">
        <f t="shared" si="2"/>
        <v>1.0339719435690231E-3</v>
      </c>
      <c r="G16" s="4">
        <f t="shared" si="3"/>
        <v>6.8699999999999317E-3</v>
      </c>
      <c r="H16" s="5">
        <f>Summary!$E$12*(1+G16)</f>
        <v>4832976</v>
      </c>
      <c r="I16" s="5">
        <f>Summary!$E$12*(1+D16)</f>
        <v>4860389.964782916</v>
      </c>
    </row>
    <row r="17" spans="1:9" ht="15" customHeight="1" x14ac:dyDescent="0.25">
      <c r="A17" s="6" t="s">
        <v>24</v>
      </c>
      <c r="B17" s="7">
        <v>23096.75</v>
      </c>
      <c r="C17" s="8">
        <f t="shared" si="0"/>
        <v>4.7451525100195013E-3</v>
      </c>
      <c r="D17" s="8">
        <f t="shared" si="1"/>
        <v>1.7386095088329112E-2</v>
      </c>
      <c r="E17" s="7">
        <v>1008.13</v>
      </c>
      <c r="F17" s="8">
        <f t="shared" si="2"/>
        <v>1.2514028623358264E-3</v>
      </c>
      <c r="G17" s="8">
        <f t="shared" si="3"/>
        <v>8.1299999999999706E-3</v>
      </c>
      <c r="H17" s="9">
        <f>Summary!$E$12*(1+G17)</f>
        <v>4839024</v>
      </c>
      <c r="I17" s="9">
        <f>Summary!$E$12*(1+D17)</f>
        <v>4883453.25642398</v>
      </c>
    </row>
    <row r="18" spans="1:9" ht="15" customHeight="1" x14ac:dyDescent="0.25">
      <c r="A18" s="2" t="s">
        <v>25</v>
      </c>
      <c r="B18" s="3">
        <v>23042.9</v>
      </c>
      <c r="C18" s="4">
        <f t="shared" si="0"/>
        <v>-2.3314968556181759E-3</v>
      </c>
      <c r="D18" s="4">
        <f t="shared" si="1"/>
        <v>1.5014062606681033E-2</v>
      </c>
      <c r="E18" s="3">
        <v>1007.55</v>
      </c>
      <c r="F18" s="4">
        <f t="shared" si="2"/>
        <v>-5.7532262704218518E-4</v>
      </c>
      <c r="G18" s="4">
        <f t="shared" si="3"/>
        <v>7.5499999999999456E-3</v>
      </c>
      <c r="H18" s="5">
        <f>Summary!$E$12*(1+G18)</f>
        <v>4836240</v>
      </c>
      <c r="I18" s="5">
        <f>Summary!$E$12*(1+D18)</f>
        <v>4872067.5005120691</v>
      </c>
    </row>
    <row r="19" spans="1:9" ht="15" customHeight="1" x14ac:dyDescent="0.25">
      <c r="A19" s="6" t="s">
        <v>26</v>
      </c>
      <c r="B19" s="7">
        <v>23076.36</v>
      </c>
      <c r="C19" s="8">
        <f t="shared" si="0"/>
        <v>1.4520741746915089E-3</v>
      </c>
      <c r="D19" s="8">
        <f t="shared" si="1"/>
        <v>1.6487938313940909E-2</v>
      </c>
      <c r="E19" s="7">
        <v>1007.61</v>
      </c>
      <c r="F19" s="8">
        <f t="shared" si="2"/>
        <v>5.9550394521323824E-5</v>
      </c>
      <c r="G19" s="8">
        <f t="shared" si="3"/>
        <v>7.6100000000001167E-3</v>
      </c>
      <c r="H19" s="9">
        <f>Summary!$E$12*(1+G19)</f>
        <v>4836528.0000000009</v>
      </c>
      <c r="I19" s="9">
        <f>Summary!$E$12*(1+D19)</f>
        <v>4879142.1039069165</v>
      </c>
    </row>
    <row r="20" spans="1:9" ht="15" customHeight="1" x14ac:dyDescent="0.25">
      <c r="A20" s="2" t="s">
        <v>27</v>
      </c>
      <c r="B20" s="3">
        <v>23123.46</v>
      </c>
      <c r="C20" s="4">
        <f t="shared" si="0"/>
        <v>2.0410498016150136E-3</v>
      </c>
      <c r="D20" s="4">
        <f t="shared" si="1"/>
        <v>1.8562640818780674E-2</v>
      </c>
      <c r="E20" s="3">
        <v>1006.88</v>
      </c>
      <c r="F20" s="4">
        <f t="shared" si="2"/>
        <v>-7.2448665654367694E-4</v>
      </c>
      <c r="G20" s="4">
        <f t="shared" si="3"/>
        <v>6.8799999999999972E-3</v>
      </c>
      <c r="H20" s="5">
        <f>Summary!$E$12*(1+G20)</f>
        <v>4833024</v>
      </c>
      <c r="I20" s="5">
        <f>Summary!$E$12*(1+D20)</f>
        <v>4889100.6759301471</v>
      </c>
    </row>
    <row r="21" spans="1:9" ht="15" customHeight="1" x14ac:dyDescent="0.25">
      <c r="A21" s="6" t="s">
        <v>28</v>
      </c>
      <c r="B21" s="7">
        <v>22951.52</v>
      </c>
      <c r="C21" s="8">
        <f t="shared" si="0"/>
        <v>-7.4357384232289769E-3</v>
      </c>
      <c r="D21" s="8">
        <f t="shared" si="1"/>
        <v>1.0988875453978864E-2</v>
      </c>
      <c r="E21" s="7">
        <v>1006.54</v>
      </c>
      <c r="F21" s="8">
        <f t="shared" si="2"/>
        <v>-3.3767678372798038E-4</v>
      </c>
      <c r="G21" s="8">
        <f t="shared" si="3"/>
        <v>6.5399999999999903E-3</v>
      </c>
      <c r="H21" s="9">
        <f>Summary!$E$12*(1+G21)</f>
        <v>4831392</v>
      </c>
      <c r="I21" s="9">
        <f>Summary!$E$12*(1+D21)</f>
        <v>4852746.6021790989</v>
      </c>
    </row>
    <row r="22" spans="1:9" ht="15" customHeight="1" x14ac:dyDescent="0.25">
      <c r="A22" s="2" t="s">
        <v>29</v>
      </c>
      <c r="B22" s="3">
        <v>22970.83</v>
      </c>
      <c r="C22" s="4">
        <f t="shared" si="0"/>
        <v>8.413386128676148E-4</v>
      </c>
      <c r="D22" s="4">
        <f t="shared" si="1"/>
        <v>1.183945943207787E-2</v>
      </c>
      <c r="E22" s="3">
        <v>1005.97</v>
      </c>
      <c r="F22" s="4">
        <f t="shared" si="2"/>
        <v>-5.6629642140393344E-4</v>
      </c>
      <c r="G22" s="4">
        <f t="shared" si="3"/>
        <v>5.9700000000000308E-3</v>
      </c>
      <c r="H22" s="5">
        <f>Summary!$E$12*(1+G22)</f>
        <v>4828656</v>
      </c>
      <c r="I22" s="5">
        <f>Summary!$E$12*(1+D22)</f>
        <v>4856829.4052739739</v>
      </c>
    </row>
    <row r="23" spans="1:9" ht="15" customHeight="1" x14ac:dyDescent="0.25">
      <c r="A23" s="6" t="s">
        <v>30</v>
      </c>
      <c r="B23" s="7">
        <v>22830.23</v>
      </c>
      <c r="C23" s="8">
        <f t="shared" si="0"/>
        <v>-6.1208062573273603E-3</v>
      </c>
      <c r="D23" s="8">
        <f t="shared" si="1"/>
        <v>5.6461861373753308E-3</v>
      </c>
      <c r="E23" s="7">
        <v>1003.93</v>
      </c>
      <c r="F23" s="8">
        <f t="shared" si="2"/>
        <v>-2.0278934759486722E-3</v>
      </c>
      <c r="G23" s="8">
        <f t="shared" si="3"/>
        <v>3.9299999999999891E-3</v>
      </c>
      <c r="H23" s="9">
        <f>Summary!$E$12*(1+G23)</f>
        <v>4818864</v>
      </c>
      <c r="I23" s="9">
        <f>Summary!$E$12*(1+D23)</f>
        <v>4827101.6934594018</v>
      </c>
    </row>
    <row r="24" spans="1:9" ht="15" customHeight="1" x14ac:dyDescent="0.25">
      <c r="A24" s="2" t="s">
        <v>31</v>
      </c>
      <c r="B24" s="3">
        <v>22700.7</v>
      </c>
      <c r="C24" s="4">
        <f t="shared" si="0"/>
        <v>-5.6736178303941065E-3</v>
      </c>
      <c r="D24" s="4">
        <f t="shared" si="1"/>
        <v>-5.9465995361551727E-5</v>
      </c>
      <c r="E24" s="3">
        <v>1002.86</v>
      </c>
      <c r="F24" s="4">
        <f t="shared" si="2"/>
        <v>-1.0658113613498665E-3</v>
      </c>
      <c r="G24" s="4">
        <f t="shared" si="3"/>
        <v>2.8600000000000847E-3</v>
      </c>
      <c r="H24" s="5">
        <f>Summary!$E$12*(1+G24)</f>
        <v>4813728</v>
      </c>
      <c r="I24" s="5">
        <f>Summary!$E$12*(1+D24)</f>
        <v>4799714.5632222649</v>
      </c>
    </row>
    <row r="25" spans="1:9" ht="15" customHeight="1" x14ac:dyDescent="0.25">
      <c r="A25" s="6" t="s">
        <v>32</v>
      </c>
      <c r="B25" s="7">
        <v>23501.65</v>
      </c>
      <c r="C25" s="8">
        <f t="shared" si="0"/>
        <v>3.5283052945503934E-2</v>
      </c>
      <c r="D25" s="8">
        <f t="shared" si="1"/>
        <v>3.5221488808279577E-2</v>
      </c>
      <c r="E25" s="7">
        <v>1012.39</v>
      </c>
      <c r="F25" s="8">
        <f t="shared" si="2"/>
        <v>9.5028219292823124E-3</v>
      </c>
      <c r="G25" s="8">
        <f t="shared" si="3"/>
        <v>1.2389999999999901E-2</v>
      </c>
      <c r="H25" s="9">
        <f>Summary!$E$12*(1+G25)</f>
        <v>4859471.9999999991</v>
      </c>
      <c r="I25" s="9">
        <f>Summary!$E$12*(1+D25)</f>
        <v>4969063.146279742</v>
      </c>
    </row>
    <row r="26" spans="1:9" ht="15" customHeight="1" x14ac:dyDescent="0.25">
      <c r="A26" s="2" t="s">
        <v>33</v>
      </c>
      <c r="B26" s="3">
        <v>23460.080000000002</v>
      </c>
      <c r="C26" s="4">
        <f t="shared" si="0"/>
        <v>-1.7688119770313815E-3</v>
      </c>
      <c r="D26" s="4">
        <f t="shared" si="1"/>
        <v>3.3390376639995223E-2</v>
      </c>
      <c r="E26" s="3">
        <v>1013.36</v>
      </c>
      <c r="F26" s="4">
        <f t="shared" si="2"/>
        <v>9.5812878436185578E-4</v>
      </c>
      <c r="G26" s="4">
        <f t="shared" si="3"/>
        <v>1.3360000000000039E-2</v>
      </c>
      <c r="H26" s="5">
        <f>Summary!$E$12*(1+G26)</f>
        <v>4864128</v>
      </c>
      <c r="I26" s="5">
        <f>Summary!$E$12*(1+D26)</f>
        <v>4960273.8078719769</v>
      </c>
    </row>
    <row r="27" spans="1:9" ht="15" customHeight="1" x14ac:dyDescent="0.25">
      <c r="A27" s="6" t="s">
        <v>34</v>
      </c>
      <c r="B27" s="7">
        <v>23197.99</v>
      </c>
      <c r="C27" s="8">
        <f t="shared" si="0"/>
        <v>-1.1171743659868172E-2</v>
      </c>
      <c r="D27" s="8">
        <f t="shared" si="1"/>
        <v>2.1845604251598427E-2</v>
      </c>
      <c r="E27" s="7">
        <v>1011.28</v>
      </c>
      <c r="F27" s="8">
        <f t="shared" si="2"/>
        <v>-2.0525775637483257E-3</v>
      </c>
      <c r="G27" s="8">
        <f t="shared" si="3"/>
        <v>1.1279999999999957E-2</v>
      </c>
      <c r="H27" s="9">
        <f>Summary!$E$12*(1+G27)</f>
        <v>4854144</v>
      </c>
      <c r="I27" s="9">
        <f>Summary!$E$12*(1+D27)</f>
        <v>4904858.9004076729</v>
      </c>
    </row>
    <row r="28" spans="1:9" ht="15" customHeight="1" x14ac:dyDescent="0.25">
      <c r="A28" s="2" t="s">
        <v>35</v>
      </c>
      <c r="B28" s="3">
        <v>23011.15</v>
      </c>
      <c r="C28" s="4">
        <f t="shared" si="0"/>
        <v>-8.0541460704138812E-3</v>
      </c>
      <c r="D28" s="4">
        <f t="shared" si="1"/>
        <v>1.3615510493545813E-2</v>
      </c>
      <c r="E28" s="3">
        <v>1010.12</v>
      </c>
      <c r="F28" s="4">
        <f t="shared" si="2"/>
        <v>-1.147061150225448E-3</v>
      </c>
      <c r="G28" s="4">
        <f t="shared" si="3"/>
        <v>1.0119999999999907E-2</v>
      </c>
      <c r="H28" s="5">
        <f>Summary!$E$12*(1+G28)</f>
        <v>4848576</v>
      </c>
      <c r="I28" s="5">
        <f>Summary!$E$12*(1+D28)</f>
        <v>4865354.45036902</v>
      </c>
    </row>
    <row r="29" spans="1:9" ht="15" customHeight="1" x14ac:dyDescent="0.25">
      <c r="A29" s="6" t="s">
        <v>36</v>
      </c>
      <c r="B29" s="7">
        <v>23068.86</v>
      </c>
      <c r="C29" s="8">
        <f t="shared" si="0"/>
        <v>2.5079146413802267E-3</v>
      </c>
      <c r="D29" s="8">
        <f t="shared" si="1"/>
        <v>1.6157571673042881E-2</v>
      </c>
      <c r="E29" s="7">
        <v>1012.31</v>
      </c>
      <c r="F29" s="8">
        <f t="shared" si="2"/>
        <v>2.168059240486242E-3</v>
      </c>
      <c r="G29" s="8">
        <f t="shared" si="3"/>
        <v>1.2310000000000043E-2</v>
      </c>
      <c r="H29" s="9">
        <f>Summary!$E$12*(1+G29)</f>
        <v>4859088</v>
      </c>
      <c r="I29" s="9">
        <f>Summary!$E$12*(1+D29)</f>
        <v>4877556.3440306056</v>
      </c>
    </row>
    <row r="30" spans="1:9" ht="15" customHeight="1" x14ac:dyDescent="0.25">
      <c r="A30" s="2" t="s">
        <v>37</v>
      </c>
      <c r="B30" s="3">
        <v>23185.91</v>
      </c>
      <c r="C30" s="4">
        <f t="shared" si="0"/>
        <v>5.0739395011283328E-3</v>
      </c>
      <c r="D30" s="4">
        <f t="shared" si="1"/>
        <v>2.1313493715325205E-2</v>
      </c>
      <c r="E30" s="3">
        <v>1014.3</v>
      </c>
      <c r="F30" s="4">
        <f t="shared" si="2"/>
        <v>1.9658009898153583E-3</v>
      </c>
      <c r="G30" s="4">
        <f t="shared" si="3"/>
        <v>1.4299999999999979E-2</v>
      </c>
      <c r="H30" s="5">
        <f>Summary!$E$12*(1+G30)</f>
        <v>4868640</v>
      </c>
      <c r="I30" s="5">
        <f>Summary!$E$12*(1+D30)</f>
        <v>4902304.769833561</v>
      </c>
    </row>
    <row r="31" spans="1:9" ht="15" customHeight="1" x14ac:dyDescent="0.25">
      <c r="A31" s="6" t="s">
        <v>38</v>
      </c>
      <c r="B31" s="7">
        <v>23333.62</v>
      </c>
      <c r="C31" s="8">
        <f t="shared" si="0"/>
        <v>6.3706794341908957E-3</v>
      </c>
      <c r="D31" s="8">
        <f t="shared" si="1"/>
        <v>2.7819954585599049E-2</v>
      </c>
      <c r="E31" s="7">
        <v>1016.01</v>
      </c>
      <c r="F31" s="8">
        <f t="shared" si="2"/>
        <v>1.6858917480035984E-3</v>
      </c>
      <c r="G31" s="8">
        <f t="shared" si="3"/>
        <v>1.601000000000008E-2</v>
      </c>
      <c r="H31" s="9">
        <f>Summary!$E$12*(1+G31)</f>
        <v>4876848</v>
      </c>
      <c r="I31" s="9">
        <f>Summary!$E$12*(1+D31)</f>
        <v>4933535.7820108756</v>
      </c>
    </row>
    <row r="32" spans="1:9" ht="15" customHeight="1" x14ac:dyDescent="0.25">
      <c r="A32" s="2" t="s">
        <v>39</v>
      </c>
      <c r="B32" s="3">
        <v>23291.439999999999</v>
      </c>
      <c r="C32" s="4">
        <f t="shared" si="0"/>
        <v>-1.807692076925882E-3</v>
      </c>
      <c r="D32" s="4">
        <f t="shared" si="1"/>
        <v>2.5961972597188243E-2</v>
      </c>
      <c r="E32" s="3">
        <v>1016.56</v>
      </c>
      <c r="F32" s="4">
        <f t="shared" si="2"/>
        <v>5.413332545938232E-4</v>
      </c>
      <c r="G32" s="4">
        <f t="shared" si="3"/>
        <v>1.6559999999999908E-2</v>
      </c>
      <c r="H32" s="5">
        <f>Summary!$E$12*(1+G32)</f>
        <v>4879488</v>
      </c>
      <c r="I32" s="5">
        <f>Summary!$E$12*(1+D32)</f>
        <v>4924617.4684665035</v>
      </c>
    </row>
    <row r="33" spans="1:9" ht="15" customHeight="1" x14ac:dyDescent="0.25">
      <c r="A33" s="6" t="s">
        <v>40</v>
      </c>
      <c r="B33" s="7">
        <v>23417.31</v>
      </c>
      <c r="C33" s="8">
        <f t="shared" si="0"/>
        <v>5.4041313031740756E-3</v>
      </c>
      <c r="D33" s="8">
        <f t="shared" si="1"/>
        <v>3.1506405809167193E-2</v>
      </c>
      <c r="E33" s="7">
        <v>1019.46</v>
      </c>
      <c r="F33" s="8">
        <f t="shared" si="2"/>
        <v>2.8527583221846786E-3</v>
      </c>
      <c r="G33" s="8">
        <f t="shared" si="3"/>
        <v>1.9460000000000033E-2</v>
      </c>
      <c r="H33" s="9">
        <f>Summary!$E$12*(1+G33)</f>
        <v>4893408</v>
      </c>
      <c r="I33" s="9">
        <f>Summary!$E$12*(1+D33)</f>
        <v>4951230.7478840025</v>
      </c>
    </row>
    <row r="34" spans="1:9" ht="15" customHeight="1" x14ac:dyDescent="0.25">
      <c r="A34" s="2" t="s">
        <v>41</v>
      </c>
      <c r="B34" s="3">
        <v>23671.31</v>
      </c>
      <c r="C34" s="4">
        <f t="shared" si="0"/>
        <v>1.0846677094849877E-2</v>
      </c>
      <c r="D34" s="4">
        <f t="shared" si="1"/>
        <v>4.2694822714248293E-2</v>
      </c>
      <c r="E34" s="3">
        <v>1024.6099999999999</v>
      </c>
      <c r="F34" s="4">
        <f t="shared" si="2"/>
        <v>5.0516940340963323E-3</v>
      </c>
      <c r="G34" s="4">
        <f t="shared" si="3"/>
        <v>2.4609999999999799E-2</v>
      </c>
      <c r="H34" s="5">
        <f>Summary!$E$12*(1+G34)</f>
        <v>4918127.9999999991</v>
      </c>
      <c r="I34" s="5">
        <f>Summary!$E$12*(1+D34)</f>
        <v>5004935.1490283916</v>
      </c>
    </row>
    <row r="35" spans="1:9" ht="15" customHeight="1" x14ac:dyDescent="0.25">
      <c r="A35" s="6" t="s">
        <v>42</v>
      </c>
      <c r="B35" s="7">
        <v>23870.38</v>
      </c>
      <c r="C35" s="8">
        <f t="shared" si="0"/>
        <v>8.4097584797799829E-3</v>
      </c>
      <c r="D35" s="8">
        <f t="shared" si="1"/>
        <v>5.1463634341392117E-2</v>
      </c>
      <c r="E35" s="7">
        <v>1026.31</v>
      </c>
      <c r="F35" s="8">
        <f t="shared" si="2"/>
        <v>1.6591678785098374E-3</v>
      </c>
      <c r="G35" s="8">
        <f t="shared" si="3"/>
        <v>2.6310000000000056E-2</v>
      </c>
      <c r="H35" s="9">
        <f>Summary!$E$12*(1+G35)</f>
        <v>4926288</v>
      </c>
      <c r="I35" s="9">
        <f>Summary!$E$12*(1+D35)</f>
        <v>5047025.4448386822</v>
      </c>
    </row>
    <row r="36" spans="1:9" ht="15" customHeight="1" x14ac:dyDescent="0.25">
      <c r="A36" s="2" t="s">
        <v>43</v>
      </c>
      <c r="B36" s="3">
        <v>23691.71</v>
      </c>
      <c r="C36" s="4">
        <f t="shared" si="0"/>
        <v>-7.4850086173744446E-3</v>
      </c>
      <c r="D36" s="4">
        <f t="shared" si="1"/>
        <v>4.3593419977490999E-2</v>
      </c>
      <c r="E36" s="3">
        <v>1025.33</v>
      </c>
      <c r="F36" s="4">
        <f t="shared" si="2"/>
        <v>-9.548771813584489E-4</v>
      </c>
      <c r="G36" s="4">
        <f t="shared" si="3"/>
        <v>2.5329999999999853E-2</v>
      </c>
      <c r="H36" s="5">
        <f>Summary!$E$12*(1+G36)</f>
        <v>4921583.9999999991</v>
      </c>
      <c r="I36" s="5">
        <f>Summary!$E$12*(1+D36)</f>
        <v>5009248.4158919565</v>
      </c>
    </row>
    <row r="37" spans="1:9" ht="15" customHeight="1" x14ac:dyDescent="0.25">
      <c r="A37" s="6" t="s">
        <v>44</v>
      </c>
      <c r="B37" s="7">
        <v>23461.46</v>
      </c>
      <c r="C37" s="8">
        <f t="shared" si="0"/>
        <v>-9.71858932934766E-3</v>
      </c>
      <c r="D37" s="8">
        <f t="shared" si="1"/>
        <v>3.3451164101920394E-2</v>
      </c>
      <c r="E37" s="7">
        <v>1023.73</v>
      </c>
      <c r="F37" s="8">
        <f t="shared" si="2"/>
        <v>-1.560473213501945E-3</v>
      </c>
      <c r="G37" s="8">
        <f t="shared" si="3"/>
        <v>2.3730000000000029E-2</v>
      </c>
      <c r="H37" s="9">
        <f>Summary!$E$12*(1+G37)</f>
        <v>4913904</v>
      </c>
      <c r="I37" s="9">
        <f>Summary!$E$12*(1+D37)</f>
        <v>4960565.5876892181</v>
      </c>
    </row>
    <row r="38" spans="1:9" ht="15" customHeight="1" x14ac:dyDescent="0.25">
      <c r="A38" s="2" t="s">
        <v>45</v>
      </c>
      <c r="B38" s="3">
        <v>23545.23</v>
      </c>
      <c r="C38" s="4">
        <f t="shared" si="0"/>
        <v>3.5705365309746107E-3</v>
      </c>
      <c r="D38" s="4">
        <f t="shared" si="1"/>
        <v>3.7141139236324561E-2</v>
      </c>
      <c r="E38" s="3">
        <v>1023.36</v>
      </c>
      <c r="F38" s="4">
        <f t="shared" si="2"/>
        <v>-3.6142342219136481E-4</v>
      </c>
      <c r="G38" s="4">
        <f t="shared" si="3"/>
        <v>2.3360000000000047E-2</v>
      </c>
      <c r="H38" s="5">
        <f>Summary!$E$12*(1+G38)</f>
        <v>4912128</v>
      </c>
      <c r="I38" s="5">
        <f>Summary!$E$12*(1+D38)</f>
        <v>4978277.4683343582</v>
      </c>
    </row>
    <row r="39" spans="1:9" ht="15" customHeight="1" x14ac:dyDescent="0.25">
      <c r="A39" s="6" t="s">
        <v>46</v>
      </c>
      <c r="B39" s="7">
        <v>23752.94</v>
      </c>
      <c r="C39" s="8">
        <f t="shared" si="0"/>
        <v>8.8217443618090474E-3</v>
      </c>
      <c r="D39" s="8">
        <f t="shared" si="1"/>
        <v>4.6290533233782849E-2</v>
      </c>
      <c r="E39" s="7">
        <v>1025.44</v>
      </c>
      <c r="F39" s="8">
        <f t="shared" si="2"/>
        <v>2.0325203252034019E-3</v>
      </c>
      <c r="G39" s="8">
        <f t="shared" si="3"/>
        <v>2.5440000000000129E-2</v>
      </c>
      <c r="H39" s="9">
        <f>Summary!$E$12*(1+G39)</f>
        <v>4922112.0000000009</v>
      </c>
      <c r="I39" s="9">
        <f>Summary!$E$12*(1+D39)</f>
        <v>5022194.5595221575</v>
      </c>
    </row>
    <row r="40" spans="1:9" ht="15" customHeight="1" x14ac:dyDescent="0.25">
      <c r="A40" s="2" t="s">
        <v>47</v>
      </c>
      <c r="B40" s="3">
        <v>23774.799999999999</v>
      </c>
      <c r="C40" s="4">
        <f t="shared" si="0"/>
        <v>9.2030712829660466E-4</v>
      </c>
      <c r="D40" s="4">
        <f t="shared" si="1"/>
        <v>4.7253441869787194E-2</v>
      </c>
      <c r="E40" s="3">
        <v>1025.82</v>
      </c>
      <c r="F40" s="4">
        <f t="shared" si="2"/>
        <v>3.705726322358327E-4</v>
      </c>
      <c r="G40" s="4">
        <f t="shared" si="3"/>
        <v>2.5819999999999954E-2</v>
      </c>
      <c r="H40" s="5">
        <f>Summary!$E$12*(1+G40)</f>
        <v>4923936</v>
      </c>
      <c r="I40" s="5">
        <f>Summary!$E$12*(1+D40)</f>
        <v>5026816.5209749788</v>
      </c>
    </row>
    <row r="41" spans="1:9" ht="15" customHeight="1" x14ac:dyDescent="0.25">
      <c r="A41" s="6" t="s">
        <v>48</v>
      </c>
      <c r="B41" s="7">
        <v>23941.17</v>
      </c>
      <c r="C41" s="8">
        <f t="shared" si="0"/>
        <v>6.9977455120546761E-3</v>
      </c>
      <c r="D41" s="8">
        <f t="shared" si="1"/>
        <v>5.458185494261536E-2</v>
      </c>
      <c r="E41" s="7">
        <v>1029.42</v>
      </c>
      <c r="F41" s="8">
        <f t="shared" si="2"/>
        <v>3.5093876118619249E-3</v>
      </c>
      <c r="G41" s="8">
        <f t="shared" si="3"/>
        <v>2.9420000000000002E-2</v>
      </c>
      <c r="H41" s="9">
        <f>Summary!$E$12*(1+G41)</f>
        <v>4941216</v>
      </c>
      <c r="I41" s="9">
        <f>Summary!$E$12*(1+D41)</f>
        <v>5061992.903724554</v>
      </c>
    </row>
    <row r="42" spans="1:9" ht="15" customHeight="1" x14ac:dyDescent="0.25">
      <c r="A42" s="2" t="s">
        <v>49</v>
      </c>
      <c r="B42" s="3">
        <v>24003.16</v>
      </c>
      <c r="C42" s="4">
        <f t="shared" si="0"/>
        <v>2.5892635990638624E-3</v>
      </c>
      <c r="D42" s="4">
        <f t="shared" si="1"/>
        <v>5.7312445351851427E-2</v>
      </c>
      <c r="E42" s="3">
        <v>1030.97</v>
      </c>
      <c r="F42" s="4">
        <f t="shared" si="2"/>
        <v>1.5057022400963849E-3</v>
      </c>
      <c r="G42" s="4">
        <f t="shared" si="3"/>
        <v>3.0969999999999942E-2</v>
      </c>
      <c r="H42" s="5">
        <f>Summary!$E$12*(1+G42)</f>
        <v>4948656</v>
      </c>
      <c r="I42" s="5">
        <f>Summary!$E$12*(1+D42)</f>
        <v>5075099.7376888869</v>
      </c>
    </row>
    <row r="43" spans="1:9" ht="15" customHeight="1" x14ac:dyDescent="0.25">
      <c r="A43" s="6" t="s">
        <v>50</v>
      </c>
      <c r="B43" s="7">
        <v>24062.2</v>
      </c>
      <c r="C43" s="8">
        <f t="shared" si="0"/>
        <v>2.4596761426411984E-3</v>
      </c>
      <c r="D43" s="8">
        <f t="shared" si="1"/>
        <v>5.9913091549001152E-2</v>
      </c>
      <c r="E43" s="7">
        <v>1031.0999999999999</v>
      </c>
      <c r="F43" s="8">
        <f t="shared" si="2"/>
        <v>1.2609484272085858E-4</v>
      </c>
      <c r="G43" s="8">
        <f t="shared" si="3"/>
        <v>3.1099999999999905E-2</v>
      </c>
      <c r="H43" s="9">
        <f>Summary!$E$12*(1+G43)</f>
        <v>4949280</v>
      </c>
      <c r="I43" s="9">
        <f>Summary!$E$12*(1+D43)</f>
        <v>5087582.8394352058</v>
      </c>
    </row>
    <row r="44" spans="1:9" ht="15" customHeight="1" x14ac:dyDescent="0.25">
      <c r="A44" s="2" t="s">
        <v>51</v>
      </c>
      <c r="B44" s="3">
        <v>24132.25</v>
      </c>
      <c r="C44" s="4">
        <f t="shared" si="0"/>
        <v>2.9112051267132788E-3</v>
      </c>
      <c r="D44" s="4">
        <f t="shared" si="1"/>
        <v>6.2998715974989183E-2</v>
      </c>
      <c r="E44" s="3">
        <v>1033.44</v>
      </c>
      <c r="F44" s="4">
        <f t="shared" si="2"/>
        <v>2.2694210066920295E-3</v>
      </c>
      <c r="G44" s="4">
        <f t="shared" si="3"/>
        <v>3.3440000000000136E-2</v>
      </c>
      <c r="H44" s="5">
        <f>Summary!$E$12*(1+G44)</f>
        <v>4960512.0000000009</v>
      </c>
      <c r="I44" s="5">
        <f>Summary!$E$12*(1+D44)</f>
        <v>5102393.8366799485</v>
      </c>
    </row>
    <row r="45" spans="1:9" ht="15" customHeight="1" x14ac:dyDescent="0.25">
      <c r="A45" s="6" t="s">
        <v>52</v>
      </c>
      <c r="B45" s="7">
        <v>24125</v>
      </c>
      <c r="C45" s="8">
        <f t="shared" si="0"/>
        <v>-3.0042785069772648E-4</v>
      </c>
      <c r="D45" s="8">
        <f t="shared" si="1"/>
        <v>6.2679361555454172E-2</v>
      </c>
      <c r="E45" s="7">
        <v>1034.19</v>
      </c>
      <c r="F45" s="8">
        <f t="shared" si="2"/>
        <v>7.2573153738964002E-4</v>
      </c>
      <c r="G45" s="8">
        <f t="shared" si="3"/>
        <v>3.4190000000000165E-2</v>
      </c>
      <c r="H45" s="9">
        <f>Summary!$E$12*(1+G45)</f>
        <v>4964112.0000000009</v>
      </c>
      <c r="I45" s="9">
        <f>Summary!$E$12*(1+D45)</f>
        <v>5100860.9354661796</v>
      </c>
    </row>
    <row r="46" spans="1:9" ht="15" customHeight="1" x14ac:dyDescent="0.25">
      <c r="A46" s="2" t="s">
        <v>53</v>
      </c>
      <c r="B46" s="3">
        <v>24168.959999999999</v>
      </c>
      <c r="C46" s="4">
        <f t="shared" si="0"/>
        <v>1.8221761658030466E-3</v>
      </c>
      <c r="D46" s="4">
        <f t="shared" si="1"/>
        <v>6.4615750559971374E-2</v>
      </c>
      <c r="E46" s="3">
        <v>1034.08</v>
      </c>
      <c r="F46" s="4">
        <f t="shared" si="2"/>
        <v>-1.0636343418535255E-4</v>
      </c>
      <c r="G46" s="4">
        <f t="shared" si="3"/>
        <v>3.4079999999999888E-2</v>
      </c>
      <c r="H46" s="5">
        <f>Summary!$E$12*(1+G46)</f>
        <v>4963583.9999999991</v>
      </c>
      <c r="I46" s="5">
        <f>Summary!$E$12*(1+D46)</f>
        <v>5110155.6026878627</v>
      </c>
    </row>
    <row r="47" spans="1:9" ht="15" customHeight="1" x14ac:dyDescent="0.25">
      <c r="A47" s="6" t="s">
        <v>54</v>
      </c>
      <c r="B47" s="7">
        <v>24116.52</v>
      </c>
      <c r="C47" s="8">
        <f t="shared" si="0"/>
        <v>-2.1697251350492053E-3</v>
      </c>
      <c r="D47" s="8">
        <f t="shared" si="1"/>
        <v>6.2305827006812198E-2</v>
      </c>
      <c r="E47" s="7">
        <v>1034.22</v>
      </c>
      <c r="F47" s="8">
        <f t="shared" si="2"/>
        <v>1.3538604363305673E-4</v>
      </c>
      <c r="G47" s="8">
        <f t="shared" si="3"/>
        <v>3.4219999999999917E-2</v>
      </c>
      <c r="H47" s="9">
        <f>Summary!$E$12*(1+G47)</f>
        <v>4964256</v>
      </c>
      <c r="I47" s="9">
        <f>Summary!$E$12*(1+D47)</f>
        <v>5099067.9696326982</v>
      </c>
    </row>
    <row r="48" spans="1:9" ht="15" customHeight="1" x14ac:dyDescent="0.25">
      <c r="A48" s="2" t="s">
        <v>55</v>
      </c>
      <c r="B48" s="3">
        <v>24405.09</v>
      </c>
      <c r="C48" s="4">
        <f t="shared" si="0"/>
        <v>1.1965656736544039E-2</v>
      </c>
      <c r="D48" s="4">
        <f t="shared" si="1"/>
        <v>7.5017013882006323E-2</v>
      </c>
      <c r="E48" s="3">
        <v>1037.29</v>
      </c>
      <c r="F48" s="4">
        <f t="shared" si="2"/>
        <v>2.9684206455105056E-3</v>
      </c>
      <c r="G48" s="4">
        <f t="shared" si="3"/>
        <v>3.7290000000000045E-2</v>
      </c>
      <c r="H48" s="5">
        <f>Summary!$E$12*(1+G48)</f>
        <v>4978992</v>
      </c>
      <c r="I48" s="5">
        <f>Summary!$E$12*(1+D48)</f>
        <v>5160081.6666336302</v>
      </c>
    </row>
    <row r="49" spans="1:9" ht="15" customHeight="1" x14ac:dyDescent="0.25">
      <c r="A49" s="6" t="s">
        <v>56</v>
      </c>
      <c r="B49" s="7">
        <v>24555.81</v>
      </c>
      <c r="C49" s="8">
        <f t="shared" si="0"/>
        <v>6.1757608761123794E-3</v>
      </c>
      <c r="D49" s="8">
        <f t="shared" si="1"/>
        <v>8.165606189749397E-2</v>
      </c>
      <c r="E49" s="7">
        <v>1038.9000000000001</v>
      </c>
      <c r="F49" s="8">
        <f t="shared" si="2"/>
        <v>1.5521213932458977E-3</v>
      </c>
      <c r="G49" s="8">
        <f t="shared" si="3"/>
        <v>3.8900000000000157E-2</v>
      </c>
      <c r="H49" s="9">
        <f>Summary!$E$12*(1+G49)</f>
        <v>4986720.0000000009</v>
      </c>
      <c r="I49" s="9">
        <f>Summary!$E$12*(1+D49)</f>
        <v>5191949.0971079711</v>
      </c>
    </row>
    <row r="50" spans="1:9" ht="15" customHeight="1" x14ac:dyDescent="0.25">
      <c r="A50" s="2" t="s">
        <v>57</v>
      </c>
      <c r="B50" s="3">
        <v>24482.080000000002</v>
      </c>
      <c r="C50" s="4">
        <f t="shared" si="0"/>
        <v>-3.0025480731443732E-3</v>
      </c>
      <c r="D50" s="4">
        <f t="shared" si="1"/>
        <v>7.8408337573038667E-2</v>
      </c>
      <c r="E50" s="3">
        <v>1039.45</v>
      </c>
      <c r="F50" s="4">
        <f t="shared" si="2"/>
        <v>5.2940610260843179E-4</v>
      </c>
      <c r="G50" s="4">
        <f t="shared" si="3"/>
        <v>3.9449999999999985E-2</v>
      </c>
      <c r="H50" s="5">
        <f>Summary!$E$12*(1+G50)</f>
        <v>4989360</v>
      </c>
      <c r="I50" s="5">
        <f>Summary!$E$12*(1+D50)</f>
        <v>5176360.0203505857</v>
      </c>
    </row>
    <row r="51" spans="1:9" ht="15" customHeight="1" x14ac:dyDescent="0.25">
      <c r="A51" s="6" t="s">
        <v>58</v>
      </c>
      <c r="B51" s="7">
        <v>24449.87</v>
      </c>
      <c r="C51" s="8">
        <f t="shared" si="0"/>
        <v>-1.3156561860757643E-3</v>
      </c>
      <c r="D51" s="8">
        <f t="shared" si="1"/>
        <v>7.6989522972594981E-2</v>
      </c>
      <c r="E51" s="7">
        <v>1038.22</v>
      </c>
      <c r="F51" s="8">
        <f t="shared" si="2"/>
        <v>-1.1833181009187621E-3</v>
      </c>
      <c r="G51" s="8">
        <f t="shared" si="3"/>
        <v>3.8219999999999921E-2</v>
      </c>
      <c r="H51" s="9">
        <f>Summary!$E$12*(1+G51)</f>
        <v>4983456</v>
      </c>
      <c r="I51" s="9">
        <f>Summary!$E$12*(1+D51)</f>
        <v>5169549.7102684556</v>
      </c>
    </row>
    <row r="52" spans="1:9" ht="15" customHeight="1" x14ac:dyDescent="0.25">
      <c r="A52" s="2" t="s">
        <v>59</v>
      </c>
      <c r="B52" s="3">
        <v>24303.52</v>
      </c>
      <c r="C52" s="4">
        <f t="shared" si="0"/>
        <v>-5.9857168974721819E-3</v>
      </c>
      <c r="D52" s="4">
        <f t="shared" si="1"/>
        <v>7.0542968586537302E-2</v>
      </c>
      <c r="E52" s="3">
        <v>1037.8699999999999</v>
      </c>
      <c r="F52" s="4">
        <f t="shared" si="2"/>
        <v>-3.3711544759307266E-4</v>
      </c>
      <c r="G52" s="4">
        <f t="shared" si="3"/>
        <v>3.7869999999999848E-2</v>
      </c>
      <c r="H52" s="5">
        <f>Summary!$E$12*(1+G52)</f>
        <v>4981775.9999999991</v>
      </c>
      <c r="I52" s="5">
        <f>Summary!$E$12*(1+D52)</f>
        <v>5138606.2492153794</v>
      </c>
    </row>
    <row r="53" spans="1:9" ht="15" customHeight="1" x14ac:dyDescent="0.25">
      <c r="A53" s="6" t="s">
        <v>60</v>
      </c>
      <c r="B53" s="7">
        <v>24387.03</v>
      </c>
      <c r="C53" s="8">
        <f t="shared" si="0"/>
        <v>3.4361277707919413E-3</v>
      </c>
      <c r="D53" s="8">
        <f t="shared" si="1"/>
        <v>7.4221491010723728E-2</v>
      </c>
      <c r="E53" s="7">
        <v>1040.67</v>
      </c>
      <c r="F53" s="8">
        <f t="shared" si="2"/>
        <v>2.6978330619442659E-3</v>
      </c>
      <c r="G53" s="8">
        <f t="shared" si="3"/>
        <v>4.0669999999999984E-2</v>
      </c>
      <c r="H53" s="9">
        <f>Summary!$E$12*(1+G53)</f>
        <v>4995216</v>
      </c>
      <c r="I53" s="9">
        <f>Summary!$E$12*(1+D53)</f>
        <v>5156263.1568514742</v>
      </c>
    </row>
    <row r="54" spans="1:9" ht="15" customHeight="1" x14ac:dyDescent="0.25">
      <c r="A54" s="2" t="s">
        <v>61</v>
      </c>
      <c r="B54" s="3">
        <v>24183.09</v>
      </c>
      <c r="C54" s="4">
        <f t="shared" si="0"/>
        <v>-8.3626419453290968E-3</v>
      </c>
      <c r="D54" s="4">
        <f t="shared" si="1"/>
        <v>6.5238161311423459E-2</v>
      </c>
      <c r="E54" s="3">
        <v>1040.8800000000001</v>
      </c>
      <c r="F54" s="4">
        <f t="shared" si="2"/>
        <v>2.0179307561485338E-4</v>
      </c>
      <c r="G54" s="4">
        <f t="shared" si="3"/>
        <v>4.0880000000000027E-2</v>
      </c>
      <c r="H54" s="5">
        <f>Summary!$E$12*(1+G54)</f>
        <v>4996224</v>
      </c>
      <c r="I54" s="5">
        <f>Summary!$E$12*(1+D54)</f>
        <v>5113143.1742948322</v>
      </c>
    </row>
    <row r="55" spans="1:9" ht="15" customHeight="1" x14ac:dyDescent="0.25">
      <c r="A55" s="6" t="s">
        <v>62</v>
      </c>
      <c r="B55" s="7">
        <v>24144.09</v>
      </c>
      <c r="C55" s="8">
        <f t="shared" si="0"/>
        <v>-1.6126971367182996E-3</v>
      </c>
      <c r="D55" s="8">
        <f t="shared" si="1"/>
        <v>6.3520254778753449E-2</v>
      </c>
      <c r="E55" s="7">
        <v>1042.73</v>
      </c>
      <c r="F55" s="8">
        <f t="shared" si="2"/>
        <v>1.777342248866276E-3</v>
      </c>
      <c r="G55" s="8">
        <f t="shared" si="3"/>
        <v>4.2729999999999935E-2</v>
      </c>
      <c r="H55" s="9">
        <f>Summary!$E$12*(1+G55)</f>
        <v>5005104</v>
      </c>
      <c r="I55" s="9">
        <f>Summary!$E$12*(1+D55)</f>
        <v>5104897.222938017</v>
      </c>
    </row>
    <row r="56" spans="1:9" ht="15" customHeight="1" x14ac:dyDescent="0.25">
      <c r="A56" s="2" t="s">
        <v>63</v>
      </c>
      <c r="B56" s="3">
        <v>24267.18</v>
      </c>
      <c r="C56" s="4">
        <f t="shared" si="0"/>
        <v>5.0981420297886437E-3</v>
      </c>
      <c r="D56" s="4">
        <f t="shared" si="1"/>
        <v>6.8942232089172606E-2</v>
      </c>
      <c r="E56" s="3">
        <v>1045.99</v>
      </c>
      <c r="F56" s="4">
        <f t="shared" si="2"/>
        <v>3.1264085621398596E-3</v>
      </c>
      <c r="G56" s="4">
        <f t="shared" si="3"/>
        <v>4.5989999999999975E-2</v>
      </c>
      <c r="H56" s="5">
        <f>Summary!$E$12*(1+G56)</f>
        <v>5020752</v>
      </c>
      <c r="I56" s="5">
        <f>Summary!$E$12*(1+D56)</f>
        <v>5130922.7140280288</v>
      </c>
    </row>
    <row r="57" spans="1:9" ht="15" customHeight="1" x14ac:dyDescent="0.25">
      <c r="A57" s="6" t="s">
        <v>64</v>
      </c>
      <c r="B57" s="7">
        <v>24362.63</v>
      </c>
      <c r="C57" s="8">
        <f t="shared" si="0"/>
        <v>3.9332959165423453E-3</v>
      </c>
      <c r="D57" s="8">
        <f t="shared" si="1"/>
        <v>7.314669820566877E-2</v>
      </c>
      <c r="E57" s="7">
        <v>1049.3699999999999</v>
      </c>
      <c r="F57" s="8">
        <f t="shared" si="2"/>
        <v>3.2313884453960551E-3</v>
      </c>
      <c r="G57" s="8">
        <f t="shared" si="3"/>
        <v>4.9369999999999914E-2</v>
      </c>
      <c r="H57" s="9">
        <f>Summary!$E$12*(1+G57)</f>
        <v>5036976</v>
      </c>
      <c r="I57" s="9">
        <f>Summary!$E$12*(1+D57)</f>
        <v>5151104.15138721</v>
      </c>
    </row>
    <row r="58" spans="1:9" ht="15" customHeight="1" x14ac:dyDescent="0.25">
      <c r="A58" s="2" t="s">
        <v>65</v>
      </c>
      <c r="B58" s="3">
        <v>24460.49</v>
      </c>
      <c r="C58" s="4">
        <f t="shared" si="0"/>
        <v>4.0168077091842225E-3</v>
      </c>
      <c r="D58" s="4">
        <f t="shared" si="1"/>
        <v>7.7457322136106788E-2</v>
      </c>
      <c r="E58" s="3">
        <v>1050.31</v>
      </c>
      <c r="F58" s="4">
        <f t="shared" si="2"/>
        <v>8.9577556057451879E-4</v>
      </c>
      <c r="G58" s="4">
        <f t="shared" si="3"/>
        <v>5.0309999999999855E-2</v>
      </c>
      <c r="H58" s="5">
        <f>Summary!$E$12*(1+G58)</f>
        <v>5041487.9999999991</v>
      </c>
      <c r="I58" s="5">
        <f>Summary!$E$12*(1+D58)</f>
        <v>5171795.1462533129</v>
      </c>
    </row>
    <row r="59" spans="1:9" ht="15" customHeight="1" x14ac:dyDescent="0.25">
      <c r="A59" s="6" t="s">
        <v>66</v>
      </c>
      <c r="B59" s="7">
        <v>24293.040000000001</v>
      </c>
      <c r="C59" s="8">
        <f t="shared" si="0"/>
        <v>-6.8457336709117911E-3</v>
      </c>
      <c r="D59" s="8">
        <f t="shared" si="1"/>
        <v>7.0081336266989203E-2</v>
      </c>
      <c r="E59" s="7">
        <v>1050.83</v>
      </c>
      <c r="F59" s="8">
        <f t="shared" si="2"/>
        <v>4.9509192524110901E-4</v>
      </c>
      <c r="G59" s="8">
        <f t="shared" si="3"/>
        <v>5.0829999999999931E-2</v>
      </c>
      <c r="H59" s="9">
        <f>Summary!$E$12*(1+G59)</f>
        <v>5043984</v>
      </c>
      <c r="I59" s="9">
        <f>Summary!$E$12*(1+D59)</f>
        <v>5136390.4140815483</v>
      </c>
    </row>
    <row r="60" spans="1:9" ht="15" customHeight="1" x14ac:dyDescent="0.25">
      <c r="A60" s="2" t="s">
        <v>67</v>
      </c>
      <c r="B60" s="3">
        <v>24419.52</v>
      </c>
      <c r="C60" s="4">
        <f t="shared" si="0"/>
        <v>5.2064294958555912E-3</v>
      </c>
      <c r="D60" s="4">
        <f t="shared" si="1"/>
        <v>7.565263929909416E-2</v>
      </c>
      <c r="E60" s="3">
        <v>1051.33</v>
      </c>
      <c r="F60" s="4">
        <f t="shared" si="2"/>
        <v>4.7581435627086499E-4</v>
      </c>
      <c r="G60" s="4">
        <f t="shared" si="3"/>
        <v>5.1329999999999876E-2</v>
      </c>
      <c r="H60" s="5">
        <f>Summary!$E$12*(1+G60)</f>
        <v>5046383.9999999991</v>
      </c>
      <c r="I60" s="5">
        <f>Summary!$E$12*(1+D60)</f>
        <v>5163132.6686356524</v>
      </c>
    </row>
    <row r="61" spans="1:9" ht="15" customHeight="1" x14ac:dyDescent="0.25">
      <c r="A61" s="6" t="s">
        <v>68</v>
      </c>
      <c r="B61" s="7">
        <v>24410.21</v>
      </c>
      <c r="C61" s="8">
        <f t="shared" si="0"/>
        <v>-3.8125237514907706E-4</v>
      </c>
      <c r="D61" s="8">
        <f t="shared" si="1"/>
        <v>7.5242544175526005E-2</v>
      </c>
      <c r="E61" s="7">
        <v>1051.8399999999999</v>
      </c>
      <c r="F61" s="8">
        <f t="shared" si="2"/>
        <v>4.8509982593469836E-4</v>
      </c>
      <c r="G61" s="8">
        <f t="shared" si="3"/>
        <v>5.1839999999999886E-2</v>
      </c>
      <c r="H61" s="9">
        <f>Summary!$E$12*(1+G61)</f>
        <v>5048831.9999999991</v>
      </c>
      <c r="I61" s="9">
        <f>Summary!$E$12*(1+D61)</f>
        <v>5161164.2120425245</v>
      </c>
    </row>
    <row r="62" spans="1:9" ht="15" customHeight="1" x14ac:dyDescent="0.25">
      <c r="A62" s="2" t="s">
        <v>69</v>
      </c>
      <c r="B62" s="3">
        <v>24622.639999999999</v>
      </c>
      <c r="C62" s="4">
        <f t="shared" si="0"/>
        <v>8.7025060415293343E-3</v>
      </c>
      <c r="D62" s="4">
        <f t="shared" si="1"/>
        <v>8.4599848912322972E-2</v>
      </c>
      <c r="E62" s="3">
        <v>1053.01</v>
      </c>
      <c r="F62" s="4">
        <f t="shared" si="2"/>
        <v>1.1123364770309063E-3</v>
      </c>
      <c r="G62" s="4">
        <f t="shared" si="3"/>
        <v>5.3010000000000002E-2</v>
      </c>
      <c r="H62" s="5">
        <f>Summary!$E$12*(1+G62)</f>
        <v>5054448</v>
      </c>
      <c r="I62" s="5">
        <f>Summary!$E$12*(1+D62)</f>
        <v>5206079.2747791503</v>
      </c>
    </row>
    <row r="63" spans="1:9" ht="15" customHeight="1" x14ac:dyDescent="0.25">
      <c r="A63" s="6" t="s">
        <v>70</v>
      </c>
      <c r="B63" s="7">
        <v>24591.59</v>
      </c>
      <c r="C63" s="8">
        <f t="shared" si="0"/>
        <v>-1.2610345600634343E-3</v>
      </c>
      <c r="D63" s="8">
        <f t="shared" si="1"/>
        <v>8.3232131019004951E-2</v>
      </c>
      <c r="E63" s="7">
        <v>1054.9000000000001</v>
      </c>
      <c r="F63" s="8">
        <f t="shared" si="2"/>
        <v>1.7948547497175227E-3</v>
      </c>
      <c r="G63" s="8">
        <f t="shared" si="3"/>
        <v>5.4900000000000171E-2</v>
      </c>
      <c r="H63" s="9">
        <f>Summary!$E$12*(1+G63)</f>
        <v>5063520.0000000009</v>
      </c>
      <c r="I63" s="9">
        <f>Summary!$E$12*(1+D63)</f>
        <v>5199514.2288912237</v>
      </c>
    </row>
    <row r="64" spans="1:9" ht="15" customHeight="1" x14ac:dyDescent="0.25">
      <c r="A64" s="2" t="s">
        <v>71</v>
      </c>
      <c r="B64" s="3">
        <v>24860.240000000002</v>
      </c>
      <c r="C64" s="4">
        <f t="shared" si="0"/>
        <v>1.0924466453775539E-2</v>
      </c>
      <c r="D64" s="4">
        <f t="shared" si="1"/>
        <v>9.506586409597384E-2</v>
      </c>
      <c r="E64" s="3">
        <v>1059.6400000000001</v>
      </c>
      <c r="F64" s="4">
        <f t="shared" si="2"/>
        <v>4.4933169020759944E-3</v>
      </c>
      <c r="G64" s="4">
        <f t="shared" si="3"/>
        <v>5.9640000000000137E-2</v>
      </c>
      <c r="H64" s="5">
        <f>Summary!$E$12*(1+G64)</f>
        <v>5086272.0000000009</v>
      </c>
      <c r="I64" s="5">
        <f>Summary!$E$12*(1+D64)</f>
        <v>5256316.1476606745</v>
      </c>
    </row>
    <row r="65" spans="1:9" ht="15" customHeight="1" x14ac:dyDescent="0.25">
      <c r="A65" s="6" t="s">
        <v>72</v>
      </c>
      <c r="B65" s="7">
        <v>24935.58</v>
      </c>
      <c r="C65" s="8">
        <f t="shared" si="0"/>
        <v>3.0305419416707391E-3</v>
      </c>
      <c r="D65" s="8">
        <f t="shared" si="1"/>
        <v>9.8384507126008547E-2</v>
      </c>
      <c r="E65" s="7">
        <v>1061.26</v>
      </c>
      <c r="F65" s="8">
        <f t="shared" si="2"/>
        <v>1.5288211090558335E-3</v>
      </c>
      <c r="G65" s="8">
        <f t="shared" si="3"/>
        <v>6.1260000000000092E-2</v>
      </c>
      <c r="H65" s="9">
        <f>Summary!$E$12*(1+G65)</f>
        <v>5094048</v>
      </c>
      <c r="I65" s="9">
        <f>Summary!$E$12*(1+D65)</f>
        <v>5272245.6342048412</v>
      </c>
    </row>
    <row r="66" spans="1:9" ht="15" customHeight="1" x14ac:dyDescent="0.25">
      <c r="A66" s="2" t="s">
        <v>73</v>
      </c>
      <c r="B66" s="3">
        <v>25062.77</v>
      </c>
      <c r="C66" s="4">
        <f t="shared" si="0"/>
        <v>5.100743596098356E-3</v>
      </c>
      <c r="D66" s="4">
        <f t="shared" si="1"/>
        <v>0.10398708486678521</v>
      </c>
      <c r="E66" s="3">
        <v>1065.21</v>
      </c>
      <c r="F66" s="4">
        <f t="shared" si="2"/>
        <v>3.7219908410757174E-3</v>
      </c>
      <c r="G66" s="4">
        <f t="shared" si="3"/>
        <v>6.520999999999999E-2</v>
      </c>
      <c r="H66" s="5">
        <f>Summary!$E$12*(1+G66)</f>
        <v>5113008</v>
      </c>
      <c r="I66" s="5">
        <f>Summary!$E$12*(1+D66)</f>
        <v>5299138.0073605692</v>
      </c>
    </row>
    <row r="67" spans="1:9" ht="15" customHeight="1" x14ac:dyDescent="0.25">
      <c r="A67" s="6" t="s">
        <v>74</v>
      </c>
      <c r="B67" s="7">
        <v>25013.15</v>
      </c>
      <c r="C67" s="8">
        <f t="shared" ref="C67:C130" si="4">B67/B66-1</f>
        <v>-1.9798290452331946E-3</v>
      </c>
      <c r="D67" s="8">
        <f t="shared" ref="D67:D130" si="5">B67/$B$2-1</f>
        <v>0.10180137917060361</v>
      </c>
      <c r="E67" s="7">
        <v>1065.32</v>
      </c>
      <c r="F67" s="8">
        <f t="shared" ref="F67:F130" si="6">E67/E66-1</f>
        <v>1.0326602266208518E-4</v>
      </c>
      <c r="G67" s="8">
        <f t="shared" ref="G67:G130" si="7">E67/$E$2-1</f>
        <v>6.5320000000000045E-2</v>
      </c>
      <c r="H67" s="9">
        <f>Summary!$E$12*(1+G67)</f>
        <v>5113536</v>
      </c>
      <c r="I67" s="9">
        <f>Summary!$E$12*(1+D67)</f>
        <v>5288646.6200188976</v>
      </c>
    </row>
    <row r="68" spans="1:9" ht="15" customHeight="1" x14ac:dyDescent="0.25">
      <c r="A68" s="2" t="s">
        <v>75</v>
      </c>
      <c r="B68" s="3">
        <v>25060.05</v>
      </c>
      <c r="C68" s="4">
        <f t="shared" si="4"/>
        <v>1.8750137427712144E-3</v>
      </c>
      <c r="D68" s="4">
        <f t="shared" si="5"/>
        <v>0.10386727189835288</v>
      </c>
      <c r="E68" s="3">
        <v>1067.03</v>
      </c>
      <c r="F68" s="4">
        <f t="shared" si="6"/>
        <v>1.6051515037736053E-3</v>
      </c>
      <c r="G68" s="4">
        <f t="shared" si="7"/>
        <v>6.7029999999999923E-2</v>
      </c>
      <c r="H68" s="5">
        <f>Summary!$E$12*(1+G68)</f>
        <v>5121744</v>
      </c>
      <c r="I68" s="5">
        <f>Summary!$E$12*(1+D68)</f>
        <v>5298562.9051120942</v>
      </c>
    </row>
    <row r="69" spans="1:9" ht="15" customHeight="1" x14ac:dyDescent="0.25">
      <c r="A69" s="6" t="s">
        <v>76</v>
      </c>
      <c r="B69" s="7">
        <v>24985.05</v>
      </c>
      <c r="C69" s="8">
        <f t="shared" si="4"/>
        <v>-2.9928112673358598E-3</v>
      </c>
      <c r="D69" s="8">
        <f t="shared" si="5"/>
        <v>0.10056360548937215</v>
      </c>
      <c r="E69" s="7">
        <v>1067.72</v>
      </c>
      <c r="F69" s="8">
        <f t="shared" si="6"/>
        <v>6.4665473323155531E-4</v>
      </c>
      <c r="G69" s="8">
        <f t="shared" si="7"/>
        <v>6.7720000000000002E-2</v>
      </c>
      <c r="H69" s="9">
        <f>Summary!$E$12*(1+G69)</f>
        <v>5125056</v>
      </c>
      <c r="I69" s="9">
        <f>Summary!$E$12*(1+D69)</f>
        <v>5282705.306348986</v>
      </c>
    </row>
    <row r="70" spans="1:9" ht="15" customHeight="1" x14ac:dyDescent="0.25">
      <c r="A70" s="2" t="s">
        <v>77</v>
      </c>
      <c r="B70" s="3">
        <v>24913.45</v>
      </c>
      <c r="C70" s="4">
        <f t="shared" si="4"/>
        <v>-2.8657136967906727E-3</v>
      </c>
      <c r="D70" s="4">
        <f t="shared" si="5"/>
        <v>9.7409705290931958E-2</v>
      </c>
      <c r="E70" s="3">
        <v>1067.26</v>
      </c>
      <c r="F70" s="4">
        <f t="shared" si="6"/>
        <v>-4.3082456074627906E-4</v>
      </c>
      <c r="G70" s="4">
        <f t="shared" si="7"/>
        <v>6.7260000000000097E-2</v>
      </c>
      <c r="H70" s="5">
        <f>Summary!$E$12*(1+G70)</f>
        <v>5122848.0000000009</v>
      </c>
      <c r="I70" s="5">
        <f>Summary!$E$12*(1+D70)</f>
        <v>5267566.5853964733</v>
      </c>
    </row>
    <row r="71" spans="1:9" ht="15" customHeight="1" x14ac:dyDescent="0.25">
      <c r="A71" s="6" t="s">
        <v>78</v>
      </c>
      <c r="B71" s="7">
        <v>25056.55</v>
      </c>
      <c r="C71" s="8">
        <f t="shared" si="4"/>
        <v>5.7438853310158855E-3</v>
      </c>
      <c r="D71" s="8">
        <f t="shared" si="5"/>
        <v>0.1037131007992671</v>
      </c>
      <c r="E71" s="7">
        <v>1070.0899999999999</v>
      </c>
      <c r="F71" s="8">
        <f t="shared" si="6"/>
        <v>2.6516500196764881E-3</v>
      </c>
      <c r="G71" s="8">
        <f t="shared" si="7"/>
        <v>7.0089999999999986E-2</v>
      </c>
      <c r="H71" s="9">
        <f>Summary!$E$12*(1+G71)</f>
        <v>5136432</v>
      </c>
      <c r="I71" s="9">
        <f>Summary!$E$12*(1+D71)</f>
        <v>5297822.8838364817</v>
      </c>
    </row>
    <row r="72" spans="1:9" ht="15" customHeight="1" x14ac:dyDescent="0.25">
      <c r="A72" s="2" t="s">
        <v>79</v>
      </c>
      <c r="B72" s="3">
        <v>24975.16</v>
      </c>
      <c r="C72" s="4">
        <f t="shared" si="4"/>
        <v>-3.2482524529513501E-3</v>
      </c>
      <c r="D72" s="4">
        <f t="shared" si="5"/>
        <v>0.10012796201224128</v>
      </c>
      <c r="E72" s="3">
        <v>1072.44</v>
      </c>
      <c r="F72" s="4">
        <f t="shared" si="6"/>
        <v>2.1960769654889578E-3</v>
      </c>
      <c r="G72" s="4">
        <f t="shared" si="7"/>
        <v>7.244000000000006E-2</v>
      </c>
      <c r="H72" s="5">
        <f>Summary!$E$12*(1+G72)</f>
        <v>5147712</v>
      </c>
      <c r="I72" s="5">
        <f>Summary!$E$12*(1+D72)</f>
        <v>5280614.2176587582</v>
      </c>
    </row>
    <row r="73" spans="1:9" ht="15" customHeight="1" x14ac:dyDescent="0.25">
      <c r="A73" s="6" t="s">
        <v>80</v>
      </c>
      <c r="B73" s="7">
        <v>24945.27</v>
      </c>
      <c r="C73" s="8">
        <f t="shared" si="4"/>
        <v>-1.1967891296792432E-3</v>
      </c>
      <c r="D73" s="8">
        <f t="shared" si="5"/>
        <v>9.8811340826048699E-2</v>
      </c>
      <c r="E73" s="7">
        <v>1072.3800000000001</v>
      </c>
      <c r="F73" s="8">
        <f t="shared" si="6"/>
        <v>-5.5947185856553006E-5</v>
      </c>
      <c r="G73" s="8">
        <f t="shared" si="7"/>
        <v>7.2380000000000111E-2</v>
      </c>
      <c r="H73" s="9">
        <f>Summary!$E$12*(1+G73)</f>
        <v>5147424.0000000009</v>
      </c>
      <c r="I73" s="9">
        <f>Summary!$E$12*(1+D73)</f>
        <v>5274294.4359650342</v>
      </c>
    </row>
    <row r="74" spans="1:9" ht="15" customHeight="1" x14ac:dyDescent="0.25">
      <c r="A74" s="2" t="s">
        <v>81</v>
      </c>
      <c r="B74" s="3">
        <v>25114.720000000001</v>
      </c>
      <c r="C74" s="4">
        <f t="shared" si="4"/>
        <v>6.7928709530904463E-3</v>
      </c>
      <c r="D74" s="4">
        <f t="shared" si="5"/>
        <v>0.10627542446607263</v>
      </c>
      <c r="E74" s="3">
        <v>1075.8800000000001</v>
      </c>
      <c r="F74" s="4">
        <f t="shared" si="6"/>
        <v>3.2637684402916367E-3</v>
      </c>
      <c r="G74" s="4">
        <f t="shared" si="7"/>
        <v>7.588000000000017E-2</v>
      </c>
      <c r="H74" s="5">
        <f>Summary!$E$12*(1+G74)</f>
        <v>5164224.0000000009</v>
      </c>
      <c r="I74" s="5">
        <f>Summary!$E$12*(1+D74)</f>
        <v>5310122.0374371484</v>
      </c>
    </row>
    <row r="75" spans="1:9" ht="15" customHeight="1" x14ac:dyDescent="0.25">
      <c r="A75" s="6" t="s">
        <v>82</v>
      </c>
      <c r="B75" s="7">
        <v>25183.1</v>
      </c>
      <c r="C75" s="8">
        <f t="shared" si="4"/>
        <v>2.722706046493828E-3</v>
      </c>
      <c r="D75" s="8">
        <f t="shared" si="5"/>
        <v>0.1092874872533538</v>
      </c>
      <c r="E75" s="7">
        <v>1077.51</v>
      </c>
      <c r="F75" s="8">
        <f t="shared" si="6"/>
        <v>1.5150388519165059E-3</v>
      </c>
      <c r="G75" s="8">
        <f t="shared" si="7"/>
        <v>7.7509999999999968E-2</v>
      </c>
      <c r="H75" s="9">
        <f>Summary!$E$12*(1+G75)</f>
        <v>5172048</v>
      </c>
      <c r="I75" s="9">
        <f>Summary!$E$12*(1+D75)</f>
        <v>5324579.9388160985</v>
      </c>
    </row>
    <row r="76" spans="1:9" ht="15" customHeight="1" x14ac:dyDescent="0.25">
      <c r="A76" s="2" t="s">
        <v>83</v>
      </c>
      <c r="B76" s="3">
        <v>25130.86</v>
      </c>
      <c r="C76" s="4">
        <f t="shared" si="4"/>
        <v>-2.0744070428183603E-3</v>
      </c>
      <c r="D76" s="4">
        <f t="shared" si="5"/>
        <v>0.10698637347728512</v>
      </c>
      <c r="E76" s="3">
        <v>1079.96</v>
      </c>
      <c r="F76" s="4">
        <f t="shared" si="6"/>
        <v>2.2737608003637888E-3</v>
      </c>
      <c r="G76" s="4">
        <f t="shared" si="7"/>
        <v>7.9960000000000031E-2</v>
      </c>
      <c r="H76" s="5">
        <f>Summary!$E$12*(1+G76)</f>
        <v>5183808</v>
      </c>
      <c r="I76" s="5">
        <f>Summary!$E$12*(1+D76)</f>
        <v>5313534.5926909689</v>
      </c>
    </row>
    <row r="77" spans="1:9" ht="15" customHeight="1" x14ac:dyDescent="0.25">
      <c r="A77" s="6" t="s">
        <v>84</v>
      </c>
      <c r="B77" s="7">
        <v>25163.279999999999</v>
      </c>
      <c r="C77" s="8">
        <f t="shared" si="4"/>
        <v>1.2900473760149023E-3</v>
      </c>
      <c r="D77" s="8">
        <f t="shared" si="5"/>
        <v>0.10841443834367381</v>
      </c>
      <c r="E77" s="7">
        <v>1081.9000000000001</v>
      </c>
      <c r="F77" s="8">
        <f t="shared" si="6"/>
        <v>1.7963628282529065E-3</v>
      </c>
      <c r="G77" s="8">
        <f t="shared" si="7"/>
        <v>8.1900000000000084E-2</v>
      </c>
      <c r="H77" s="9">
        <f>Summary!$E$12*(1+G77)</f>
        <v>5193120</v>
      </c>
      <c r="I77" s="9">
        <f>Summary!$E$12*(1+D77)</f>
        <v>5320389.3040496344</v>
      </c>
    </row>
    <row r="78" spans="1:9" ht="15" customHeight="1" x14ac:dyDescent="0.25">
      <c r="A78" s="2" t="s">
        <v>85</v>
      </c>
      <c r="B78" s="3">
        <v>24933.18</v>
      </c>
      <c r="C78" s="4">
        <f t="shared" si="4"/>
        <v>-9.1442768987189949E-3</v>
      </c>
      <c r="D78" s="4">
        <f t="shared" si="5"/>
        <v>9.8278789800921196E-2</v>
      </c>
      <c r="E78" s="3">
        <v>1081.78</v>
      </c>
      <c r="F78" s="4">
        <f t="shared" si="6"/>
        <v>-1.1091598114443268E-4</v>
      </c>
      <c r="G78" s="4">
        <f t="shared" si="7"/>
        <v>8.1779999999999964E-2</v>
      </c>
      <c r="H78" s="5">
        <f>Summary!$E$12*(1+G78)</f>
        <v>5192544</v>
      </c>
      <c r="I78" s="5">
        <f>Summary!$E$12*(1+D78)</f>
        <v>5271738.1910444219</v>
      </c>
    </row>
    <row r="79" spans="1:9" ht="15" customHeight="1" x14ac:dyDescent="0.25">
      <c r="A79" s="6" t="s">
        <v>86</v>
      </c>
      <c r="B79" s="7">
        <v>24689.18</v>
      </c>
      <c r="C79" s="8">
        <f t="shared" si="4"/>
        <v>-9.7861564389299938E-3</v>
      </c>
      <c r="D79" s="8">
        <f t="shared" si="5"/>
        <v>8.7530861750370503E-2</v>
      </c>
      <c r="E79" s="7">
        <v>1081.48</v>
      </c>
      <c r="F79" s="8">
        <f t="shared" si="6"/>
        <v>-2.7732071215957887E-4</v>
      </c>
      <c r="G79" s="8">
        <f t="shared" si="7"/>
        <v>8.1479999999999997E-2</v>
      </c>
      <c r="H79" s="9">
        <f>Summary!$E$12*(1+G79)</f>
        <v>5191104</v>
      </c>
      <c r="I79" s="9">
        <f>Summary!$E$12*(1+D79)</f>
        <v>5220148.1364017781</v>
      </c>
    </row>
    <row r="80" spans="1:9" ht="15" customHeight="1" x14ac:dyDescent="0.25">
      <c r="A80" s="2" t="s">
        <v>87</v>
      </c>
      <c r="B80" s="3">
        <v>24743.93</v>
      </c>
      <c r="C80" s="4">
        <f t="shared" si="4"/>
        <v>2.2175706119036409E-3</v>
      </c>
      <c r="D80" s="4">
        <f t="shared" si="5"/>
        <v>8.9942538228926505E-2</v>
      </c>
      <c r="E80" s="3">
        <v>1083.3900000000001</v>
      </c>
      <c r="F80" s="4">
        <f t="shared" si="6"/>
        <v>1.7660983097238514E-3</v>
      </c>
      <c r="G80" s="4">
        <f t="shared" si="7"/>
        <v>8.3390000000000075E-2</v>
      </c>
      <c r="H80" s="5">
        <f>Summary!$E$12*(1+G80)</f>
        <v>5200272</v>
      </c>
      <c r="I80" s="5">
        <f>Summary!$E$12*(1+D80)</f>
        <v>5231724.1834988473</v>
      </c>
    </row>
    <row r="81" spans="1:9" ht="15" customHeight="1" x14ac:dyDescent="0.25">
      <c r="A81" s="6" t="s">
        <v>88</v>
      </c>
      <c r="B81" s="7">
        <v>25158.18</v>
      </c>
      <c r="C81" s="8">
        <f t="shared" si="4"/>
        <v>1.6741479627528921E-2</v>
      </c>
      <c r="D81" s="8">
        <f t="shared" si="5"/>
        <v>0.10818978902786314</v>
      </c>
      <c r="E81" s="7">
        <v>1086.8499999999999</v>
      </c>
      <c r="F81" s="8">
        <f t="shared" si="6"/>
        <v>3.1936790998623454E-3</v>
      </c>
      <c r="G81" s="8">
        <f t="shared" si="7"/>
        <v>8.6849999999999872E-2</v>
      </c>
      <c r="H81" s="9">
        <f>Summary!$E$12*(1+G81)</f>
        <v>5216879.9999999991</v>
      </c>
      <c r="I81" s="9">
        <f>Summary!$E$12*(1+D81)</f>
        <v>5319310.9873337429</v>
      </c>
    </row>
    <row r="82" spans="1:9" ht="15" customHeight="1" x14ac:dyDescent="0.25">
      <c r="A82" s="2" t="s">
        <v>89</v>
      </c>
      <c r="B82" s="3">
        <v>25461.62</v>
      </c>
      <c r="C82" s="4">
        <f t="shared" si="4"/>
        <v>1.2061285832281943E-2</v>
      </c>
      <c r="D82" s="4">
        <f t="shared" si="5"/>
        <v>0.12155598282974434</v>
      </c>
      <c r="E82" s="3">
        <v>1092.04</v>
      </c>
      <c r="F82" s="4">
        <f t="shared" si="6"/>
        <v>4.7752679762618211E-3</v>
      </c>
      <c r="G82" s="4">
        <f t="shared" si="7"/>
        <v>9.20399999999999E-2</v>
      </c>
      <c r="H82" s="5">
        <f>Summary!$E$12*(1+G82)</f>
        <v>5241791.9999999991</v>
      </c>
      <c r="I82" s="5">
        <f>Summary!$E$12*(1+D82)</f>
        <v>5383468.7175827725</v>
      </c>
    </row>
    <row r="83" spans="1:9" ht="15" customHeight="1" x14ac:dyDescent="0.25">
      <c r="A83" s="6" t="s">
        <v>90</v>
      </c>
      <c r="B83" s="7">
        <v>25652.99</v>
      </c>
      <c r="C83" s="8">
        <f t="shared" si="4"/>
        <v>7.516018226648713E-3</v>
      </c>
      <c r="D83" s="8">
        <f t="shared" si="5"/>
        <v>0.12998561803889963</v>
      </c>
      <c r="E83" s="7">
        <v>1093.54</v>
      </c>
      <c r="F83" s="8">
        <f t="shared" si="6"/>
        <v>1.373576059485071E-3</v>
      </c>
      <c r="G83" s="8">
        <f t="shared" si="7"/>
        <v>9.3539999999999957E-2</v>
      </c>
      <c r="H83" s="9">
        <f>Summary!$E$12*(1+G83)</f>
        <v>5248992</v>
      </c>
      <c r="I83" s="9">
        <f>Summary!$E$12*(1+D83)</f>
        <v>5423930.9665867183</v>
      </c>
    </row>
    <row r="84" spans="1:9" ht="15" customHeight="1" x14ac:dyDescent="0.25">
      <c r="A84" s="2" t="s">
        <v>91</v>
      </c>
      <c r="B84" s="3">
        <v>25652.99</v>
      </c>
      <c r="C84" s="4">
        <f t="shared" si="4"/>
        <v>0</v>
      </c>
      <c r="D84" s="4">
        <f t="shared" si="5"/>
        <v>0.12998561803889963</v>
      </c>
      <c r="E84" s="3">
        <v>1094.98</v>
      </c>
      <c r="F84" s="4">
        <f t="shared" si="6"/>
        <v>1.3168242588290635E-3</v>
      </c>
      <c r="G84" s="4">
        <f t="shared" si="7"/>
        <v>9.4980000000000064E-2</v>
      </c>
      <c r="H84" s="5">
        <f>Summary!$E$12*(1+G84)</f>
        <v>5255904</v>
      </c>
      <c r="I84" s="5">
        <f>Summary!$E$12*(1+D84)</f>
        <v>5423930.9665867183</v>
      </c>
    </row>
    <row r="85" spans="1:9" ht="15" customHeight="1" x14ac:dyDescent="0.25">
      <c r="A85" s="6" t="s">
        <v>92</v>
      </c>
      <c r="B85" s="7">
        <v>25652.99</v>
      </c>
      <c r="C85" s="8">
        <f t="shared" si="4"/>
        <v>0</v>
      </c>
      <c r="D85" s="8">
        <f t="shared" si="5"/>
        <v>0.12998561803889963</v>
      </c>
      <c r="E85" s="7">
        <v>1096.79</v>
      </c>
      <c r="F85" s="8">
        <f t="shared" si="6"/>
        <v>1.6529982282780242E-3</v>
      </c>
      <c r="G85" s="8">
        <f t="shared" si="7"/>
        <v>9.6789999999999932E-2</v>
      </c>
      <c r="H85" s="9">
        <f>Summary!$E$12*(1+G85)</f>
        <v>5264592</v>
      </c>
      <c r="I85" s="9">
        <f>Summary!$E$12*(1+D85)</f>
        <v>5423930.9665867183</v>
      </c>
    </row>
    <row r="86" spans="1:9" ht="15" customHeight="1" x14ac:dyDescent="0.25">
      <c r="A86" s="2" t="s">
        <v>93</v>
      </c>
      <c r="B86" s="3">
        <v>25652.99</v>
      </c>
      <c r="C86" s="4">
        <f t="shared" si="4"/>
        <v>0</v>
      </c>
      <c r="D86" s="4">
        <f t="shared" si="5"/>
        <v>0.12998561803889963</v>
      </c>
      <c r="E86" s="3">
        <v>1097.17</v>
      </c>
      <c r="F86" s="4">
        <f t="shared" si="6"/>
        <v>3.4646559505469021E-4</v>
      </c>
      <c r="G86" s="4">
        <f t="shared" si="7"/>
        <v>9.7169999999999979E-2</v>
      </c>
      <c r="H86" s="5">
        <f>Summary!$E$12*(1+G86)</f>
        <v>5266416</v>
      </c>
      <c r="I86" s="5">
        <f>Summary!$E$12*(1+D86)</f>
        <v>5423930.9665867183</v>
      </c>
    </row>
    <row r="87" spans="1:9" ht="15" customHeight="1" x14ac:dyDescent="0.25">
      <c r="A87" s="6" t="s">
        <v>94</v>
      </c>
      <c r="B87" s="7">
        <v>25652.99</v>
      </c>
      <c r="C87" s="8">
        <f t="shared" si="4"/>
        <v>0</v>
      </c>
      <c r="D87" s="8">
        <f t="shared" si="5"/>
        <v>0.12998561803889963</v>
      </c>
      <c r="E87" s="7">
        <v>1098.52</v>
      </c>
      <c r="F87" s="8">
        <f t="shared" si="6"/>
        <v>1.2304383094687843E-3</v>
      </c>
      <c r="G87" s="8">
        <f t="shared" si="7"/>
        <v>9.8519999999999941E-2</v>
      </c>
      <c r="H87" s="9">
        <f>Summary!$E$12*(1+G87)</f>
        <v>5272896</v>
      </c>
      <c r="I87" s="9">
        <f>Summary!$E$12*(1+D87)</f>
        <v>5423930.9665867183</v>
      </c>
    </row>
    <row r="88" spans="1:9" ht="15" customHeight="1" x14ac:dyDescent="0.25">
      <c r="A88" s="2" t="s">
        <v>95</v>
      </c>
      <c r="B88" s="3">
        <v>25322.34</v>
      </c>
      <c r="C88" s="4">
        <f t="shared" si="4"/>
        <v>-1.2889335707065741E-2</v>
      </c>
      <c r="D88" s="4">
        <f t="shared" si="5"/>
        <v>0.11542085406384017</v>
      </c>
      <c r="E88" s="3">
        <v>1098.06</v>
      </c>
      <c r="F88" s="4">
        <f t="shared" si="6"/>
        <v>-4.1874522084262011E-4</v>
      </c>
      <c r="G88" s="4">
        <f t="shared" si="7"/>
        <v>9.8060000000000036E-2</v>
      </c>
      <c r="H88" s="5">
        <f>Summary!$E$12*(1+G88)</f>
        <v>5270688</v>
      </c>
      <c r="I88" s="5">
        <f>Summary!$E$12*(1+D88)</f>
        <v>5354020.0995064331</v>
      </c>
    </row>
    <row r="89" spans="1:9" ht="15" customHeight="1" x14ac:dyDescent="0.25">
      <c r="A89" s="6" t="s">
        <v>96</v>
      </c>
      <c r="B89" s="7">
        <v>25376.9</v>
      </c>
      <c r="C89" s="8">
        <f t="shared" si="4"/>
        <v>2.1546192018588872E-3</v>
      </c>
      <c r="D89" s="8">
        <f t="shared" si="5"/>
        <v>0.11782416125415995</v>
      </c>
      <c r="E89" s="7">
        <v>1099.72</v>
      </c>
      <c r="F89" s="8">
        <f t="shared" si="6"/>
        <v>1.511757098883626E-3</v>
      </c>
      <c r="G89" s="8">
        <f t="shared" si="7"/>
        <v>9.9720000000000031E-2</v>
      </c>
      <c r="H89" s="9">
        <f>Summary!$E$12*(1+G89)</f>
        <v>5278656</v>
      </c>
      <c r="I89" s="9">
        <f>Summary!$E$12*(1+D89)</f>
        <v>5365555.974019968</v>
      </c>
    </row>
    <row r="90" spans="1:9" ht="15" customHeight="1" x14ac:dyDescent="0.25">
      <c r="A90" s="2" t="s">
        <v>97</v>
      </c>
      <c r="B90" s="3">
        <v>25412.05</v>
      </c>
      <c r="C90" s="4">
        <f t="shared" si="4"/>
        <v>1.3851179616106712E-3</v>
      </c>
      <c r="D90" s="4">
        <f t="shared" si="5"/>
        <v>0.11937247957783548</v>
      </c>
      <c r="E90" s="3">
        <v>1100.3599999999999</v>
      </c>
      <c r="F90" s="4">
        <f t="shared" si="6"/>
        <v>5.81966318699223E-4</v>
      </c>
      <c r="G90" s="4">
        <f t="shared" si="7"/>
        <v>0.10036</v>
      </c>
      <c r="H90" s="5">
        <f>Summary!$E$12*(1+G90)</f>
        <v>5281728</v>
      </c>
      <c r="I90" s="5">
        <f>Summary!$E$12*(1+D90)</f>
        <v>5372987.9019736107</v>
      </c>
    </row>
    <row r="91" spans="1:9" ht="15" customHeight="1" x14ac:dyDescent="0.25">
      <c r="A91" s="6" t="s">
        <v>98</v>
      </c>
      <c r="B91" s="7">
        <v>25579.89</v>
      </c>
      <c r="C91" s="8">
        <f t="shared" si="4"/>
        <v>6.6047406643698903E-3</v>
      </c>
      <c r="D91" s="8">
        <f t="shared" si="5"/>
        <v>0.12676564451227978</v>
      </c>
      <c r="E91" s="7">
        <v>1100.1400000000001</v>
      </c>
      <c r="F91" s="8">
        <f t="shared" si="6"/>
        <v>-1.9993456686884237E-4</v>
      </c>
      <c r="G91" s="8">
        <f t="shared" si="7"/>
        <v>0.10014000000000012</v>
      </c>
      <c r="H91" s="9">
        <f>Summary!$E$12*(1+G91)</f>
        <v>5280672.0000000009</v>
      </c>
      <c r="I91" s="9">
        <f>Summary!$E$12*(1+D91)</f>
        <v>5408475.0936589427</v>
      </c>
    </row>
    <row r="92" spans="1:9" ht="15" customHeight="1" x14ac:dyDescent="0.25">
      <c r="A92" s="2" t="s">
        <v>99</v>
      </c>
      <c r="B92" s="3">
        <v>25696.46</v>
      </c>
      <c r="C92" s="4">
        <f t="shared" si="4"/>
        <v>4.5570954370797168E-3</v>
      </c>
      <c r="D92" s="4">
        <f t="shared" si="5"/>
        <v>0.13190042308954486</v>
      </c>
      <c r="E92" s="3">
        <v>1101.3900000000001</v>
      </c>
      <c r="F92" s="4">
        <f t="shared" si="6"/>
        <v>1.1362190266692718E-3</v>
      </c>
      <c r="G92" s="4">
        <f t="shared" si="7"/>
        <v>0.10139000000000009</v>
      </c>
      <c r="H92" s="5">
        <f>Summary!$E$12*(1+G92)</f>
        <v>5286672</v>
      </c>
      <c r="I92" s="5">
        <f>Summary!$E$12*(1+D92)</f>
        <v>5433122.0308298152</v>
      </c>
    </row>
    <row r="93" spans="1:9" ht="15" customHeight="1" x14ac:dyDescent="0.25">
      <c r="A93" s="6" t="s">
        <v>100</v>
      </c>
      <c r="B93" s="7">
        <v>25949.16</v>
      </c>
      <c r="C93" s="8">
        <f t="shared" si="4"/>
        <v>9.8340393968663342E-3</v>
      </c>
      <c r="D93" s="8">
        <f t="shared" si="5"/>
        <v>0.14303157644353703</v>
      </c>
      <c r="E93" s="7">
        <v>1104.19</v>
      </c>
      <c r="F93" s="8">
        <f t="shared" si="6"/>
        <v>2.5422420759222408E-3</v>
      </c>
      <c r="G93" s="8">
        <f t="shared" si="7"/>
        <v>0.10419</v>
      </c>
      <c r="H93" s="9">
        <f>Summary!$E$12*(1+G93)</f>
        <v>5300112</v>
      </c>
      <c r="I93" s="9">
        <f>Summary!$E$12*(1+D93)</f>
        <v>5486551.5669289781</v>
      </c>
    </row>
    <row r="94" spans="1:9" ht="15" customHeight="1" x14ac:dyDescent="0.25">
      <c r="A94" s="2" t="s">
        <v>101</v>
      </c>
      <c r="B94" s="3">
        <v>26077.15</v>
      </c>
      <c r="C94" s="4">
        <f t="shared" si="4"/>
        <v>4.9323369234304248E-3</v>
      </c>
      <c r="D94" s="4">
        <f t="shared" si="5"/>
        <v>0.14866939329267637</v>
      </c>
      <c r="E94" s="3">
        <v>1105.98</v>
      </c>
      <c r="F94" s="4">
        <f t="shared" si="6"/>
        <v>1.6210978183102132E-3</v>
      </c>
      <c r="G94" s="4">
        <f t="shared" si="7"/>
        <v>0.10597999999999996</v>
      </c>
      <c r="H94" s="5">
        <f>Summary!$E$12*(1+G94)</f>
        <v>5308704</v>
      </c>
      <c r="I94" s="5">
        <f>Summary!$E$12*(1+D94)</f>
        <v>5513613.0878048465</v>
      </c>
    </row>
    <row r="95" spans="1:9" ht="15" customHeight="1" x14ac:dyDescent="0.25">
      <c r="A95" s="6" t="s">
        <v>102</v>
      </c>
      <c r="B95" s="7">
        <v>26137.759999999998</v>
      </c>
      <c r="C95" s="8">
        <f t="shared" si="4"/>
        <v>2.3242570602997059E-3</v>
      </c>
      <c r="D95" s="8">
        <f t="shared" si="5"/>
        <v>0.15133919623998704</v>
      </c>
      <c r="E95" s="7">
        <v>1106.76</v>
      </c>
      <c r="F95" s="8">
        <f t="shared" si="6"/>
        <v>7.0525687625444533E-4</v>
      </c>
      <c r="G95" s="8">
        <f t="shared" si="7"/>
        <v>0.10675999999999997</v>
      </c>
      <c r="H95" s="9">
        <f>Summary!$E$12*(1+G95)</f>
        <v>5312448</v>
      </c>
      <c r="I95" s="9">
        <f>Summary!$E$12*(1+D95)</f>
        <v>5526428.1419519382</v>
      </c>
    </row>
    <row r="96" spans="1:9" ht="15" customHeight="1" x14ac:dyDescent="0.25">
      <c r="A96" s="2" t="s">
        <v>103</v>
      </c>
      <c r="B96" s="3">
        <v>25972.080000000002</v>
      </c>
      <c r="C96" s="4">
        <f t="shared" si="4"/>
        <v>-6.3387222164407175E-3</v>
      </c>
      <c r="D96" s="4">
        <f t="shared" si="5"/>
        <v>0.14404117689812157</v>
      </c>
      <c r="E96" s="3">
        <v>1106.95</v>
      </c>
      <c r="F96" s="4">
        <f t="shared" si="6"/>
        <v>1.7167226860381746E-4</v>
      </c>
      <c r="G96" s="4">
        <f t="shared" si="7"/>
        <v>0.1069500000000001</v>
      </c>
      <c r="H96" s="5">
        <f>Summary!$E$12*(1+G96)</f>
        <v>5313360.0000000009</v>
      </c>
      <c r="I96" s="5">
        <f>Summary!$E$12*(1+D96)</f>
        <v>5491397.6491109831</v>
      </c>
    </row>
    <row r="97" spans="1:9" ht="15" customHeight="1" x14ac:dyDescent="0.25">
      <c r="A97" s="6" t="s">
        <v>104</v>
      </c>
      <c r="B97" s="7">
        <v>25955.759999999998</v>
      </c>
      <c r="C97" s="8">
        <f t="shared" si="4"/>
        <v>-6.2836707726154906E-4</v>
      </c>
      <c r="D97" s="8">
        <f t="shared" si="5"/>
        <v>0.14332229908752736</v>
      </c>
      <c r="E97" s="7">
        <v>1107.46</v>
      </c>
      <c r="F97" s="8">
        <f t="shared" si="6"/>
        <v>4.6072541668551459E-4</v>
      </c>
      <c r="G97" s="8">
        <f t="shared" si="7"/>
        <v>0.10746000000000011</v>
      </c>
      <c r="H97" s="9">
        <f>Summary!$E$12*(1+G97)</f>
        <v>5315808.0000000009</v>
      </c>
      <c r="I97" s="9">
        <f>Summary!$E$12*(1+D97)</f>
        <v>5487947.0356201315</v>
      </c>
    </row>
    <row r="98" spans="1:9" ht="15" customHeight="1" x14ac:dyDescent="0.25">
      <c r="A98" s="2" t="s">
        <v>105</v>
      </c>
      <c r="B98" s="3">
        <v>25770.83</v>
      </c>
      <c r="C98" s="4">
        <f t="shared" si="4"/>
        <v>-7.12481545522059E-3</v>
      </c>
      <c r="D98" s="4">
        <f t="shared" si="5"/>
        <v>0.13517633870069012</v>
      </c>
      <c r="E98" s="3">
        <v>1107</v>
      </c>
      <c r="F98" s="4">
        <f t="shared" si="6"/>
        <v>-4.1536488902538249E-4</v>
      </c>
      <c r="G98" s="4">
        <f t="shared" si="7"/>
        <v>0.10699999999999998</v>
      </c>
      <c r="H98" s="5">
        <f>Summary!$E$12*(1+G98)</f>
        <v>5313600</v>
      </c>
      <c r="I98" s="5">
        <f>Summary!$E$12*(1+D98)</f>
        <v>5448846.4257633127</v>
      </c>
    </row>
    <row r="99" spans="1:9" ht="15" customHeight="1" x14ac:dyDescent="0.25">
      <c r="A99" s="6" t="s">
        <v>106</v>
      </c>
      <c r="B99" s="7">
        <v>25716.46</v>
      </c>
      <c r="C99" s="8">
        <f t="shared" si="4"/>
        <v>-2.1097496665805071E-3</v>
      </c>
      <c r="D99" s="8">
        <f t="shared" si="5"/>
        <v>0.13278140079860634</v>
      </c>
      <c r="E99" s="7">
        <v>1108.43</v>
      </c>
      <c r="F99" s="8">
        <f t="shared" si="6"/>
        <v>1.2917795844624713E-3</v>
      </c>
      <c r="G99" s="8">
        <f t="shared" si="7"/>
        <v>0.10843000000000003</v>
      </c>
      <c r="H99" s="9">
        <f>Summary!$E$12*(1+G99)</f>
        <v>5320464</v>
      </c>
      <c r="I99" s="9">
        <f>Summary!$E$12*(1+D99)</f>
        <v>5437350.7238333104</v>
      </c>
    </row>
    <row r="100" spans="1:9" ht="15" customHeight="1" x14ac:dyDescent="0.25">
      <c r="A100" s="2" t="s">
        <v>107</v>
      </c>
      <c r="B100" s="3">
        <v>26026.17</v>
      </c>
      <c r="C100" s="4">
        <f t="shared" si="4"/>
        <v>1.2043259453283994E-2</v>
      </c>
      <c r="D100" s="4">
        <f t="shared" si="5"/>
        <v>0.14642378111227838</v>
      </c>
      <c r="E100" s="3">
        <v>1111.46</v>
      </c>
      <c r="F100" s="4">
        <f t="shared" si="6"/>
        <v>2.7335961675523102E-3</v>
      </c>
      <c r="G100" s="4">
        <f t="shared" si="7"/>
        <v>0.11146000000000011</v>
      </c>
      <c r="H100" s="5">
        <f>Summary!$E$12*(1+G100)</f>
        <v>5335008.0000000009</v>
      </c>
      <c r="I100" s="5">
        <f>Summary!$E$12*(1+D100)</f>
        <v>5502834.1493389364</v>
      </c>
    </row>
    <row r="101" spans="1:9" ht="15" customHeight="1" x14ac:dyDescent="0.25">
      <c r="A101" s="6" t="s">
        <v>108</v>
      </c>
      <c r="B101" s="7">
        <v>26064.66</v>
      </c>
      <c r="C101" s="8">
        <f t="shared" si="4"/>
        <v>1.4788960496301407E-3</v>
      </c>
      <c r="D101" s="8">
        <f t="shared" si="5"/>
        <v>0.14811922271336742</v>
      </c>
      <c r="E101" s="7">
        <v>1112.72</v>
      </c>
      <c r="F101" s="8">
        <f t="shared" si="6"/>
        <v>1.1336440357727628E-3</v>
      </c>
      <c r="G101" s="8">
        <f t="shared" si="7"/>
        <v>0.11271999999999993</v>
      </c>
      <c r="H101" s="9">
        <f>Summary!$E$12*(1+G101)</f>
        <v>5341056</v>
      </c>
      <c r="I101" s="9">
        <f>Summary!$E$12*(1+D101)</f>
        <v>5510972.2690241635</v>
      </c>
    </row>
    <row r="102" spans="1:9" ht="15" customHeight="1" x14ac:dyDescent="0.25">
      <c r="A102" s="2" t="s">
        <v>109</v>
      </c>
      <c r="B102" s="3">
        <v>26130.17</v>
      </c>
      <c r="C102" s="4">
        <f t="shared" si="4"/>
        <v>2.513364839594967E-3</v>
      </c>
      <c r="D102" s="4">
        <f t="shared" si="5"/>
        <v>0.15100486519939826</v>
      </c>
      <c r="E102" s="3">
        <v>1116.67</v>
      </c>
      <c r="F102" s="4">
        <f t="shared" si="6"/>
        <v>3.5498598030052619E-3</v>
      </c>
      <c r="G102" s="4">
        <f t="shared" si="7"/>
        <v>0.11667000000000005</v>
      </c>
      <c r="H102" s="5">
        <f>Summary!$E$12*(1+G102)</f>
        <v>5360016</v>
      </c>
      <c r="I102" s="5">
        <f>Summary!$E$12*(1+D102)</f>
        <v>5524823.3529571118</v>
      </c>
    </row>
    <row r="103" spans="1:9" ht="15" customHeight="1" x14ac:dyDescent="0.25">
      <c r="A103" s="6" t="s">
        <v>110</v>
      </c>
      <c r="B103" s="7">
        <v>26022.53</v>
      </c>
      <c r="C103" s="8">
        <f t="shared" si="4"/>
        <v>-4.1193761846937127E-3</v>
      </c>
      <c r="D103" s="8">
        <f t="shared" si="5"/>
        <v>0.14626344316922912</v>
      </c>
      <c r="E103" s="7">
        <v>1117.8599999999999</v>
      </c>
      <c r="F103" s="8">
        <f t="shared" si="6"/>
        <v>1.065668460691116E-3</v>
      </c>
      <c r="G103" s="8">
        <f t="shared" si="7"/>
        <v>0.11785999999999985</v>
      </c>
      <c r="H103" s="9">
        <f>Summary!$E$12*(1+G103)</f>
        <v>5365727.9999999991</v>
      </c>
      <c r="I103" s="9">
        <f>Summary!$E$12*(1+D103)</f>
        <v>5502064.5272122994</v>
      </c>
    </row>
    <row r="104" spans="1:9" ht="15" customHeight="1" x14ac:dyDescent="0.25">
      <c r="A104" s="2" t="s">
        <v>111</v>
      </c>
      <c r="B104" s="3">
        <v>26450.49</v>
      </c>
      <c r="C104" s="4">
        <f t="shared" si="4"/>
        <v>1.6445749125853837E-2</v>
      </c>
      <c r="D104" s="4">
        <f t="shared" si="5"/>
        <v>0.16511460418772761</v>
      </c>
      <c r="E104" s="3">
        <v>1121.46</v>
      </c>
      <c r="F104" s="4">
        <f t="shared" si="6"/>
        <v>3.2204390531911375E-3</v>
      </c>
      <c r="G104" s="4">
        <f t="shared" si="7"/>
        <v>0.12146000000000012</v>
      </c>
      <c r="H104" s="5">
        <f>Summary!$E$12*(1+G104)</f>
        <v>5383008.0000000009</v>
      </c>
      <c r="I104" s="5">
        <f>Summary!$E$12*(1+D104)</f>
        <v>5592550.1001010928</v>
      </c>
    </row>
    <row r="105" spans="1:9" ht="15" customHeight="1" x14ac:dyDescent="0.25">
      <c r="A105" s="6" t="s">
        <v>112</v>
      </c>
      <c r="B105" s="7">
        <v>26131.8</v>
      </c>
      <c r="C105" s="8">
        <f t="shared" si="4"/>
        <v>-1.204854806092448E-2</v>
      </c>
      <c r="D105" s="8">
        <f t="shared" si="5"/>
        <v>0.1510766648826869</v>
      </c>
      <c r="E105" s="7">
        <v>1119.92</v>
      </c>
      <c r="F105" s="8">
        <f t="shared" si="6"/>
        <v>-1.3732099227792283E-3</v>
      </c>
      <c r="G105" s="8">
        <f t="shared" si="7"/>
        <v>0.11992000000000003</v>
      </c>
      <c r="H105" s="9">
        <f>Summary!$E$12*(1+G105)</f>
        <v>5375616</v>
      </c>
      <c r="I105" s="9">
        <f>Summary!$E$12*(1+D105)</f>
        <v>5525167.9914368968</v>
      </c>
    </row>
    <row r="106" spans="1:9" ht="15" customHeight="1" x14ac:dyDescent="0.25">
      <c r="A106" s="2" t="s">
        <v>113</v>
      </c>
      <c r="B106" s="3">
        <v>25986.6</v>
      </c>
      <c r="C106" s="4">
        <f t="shared" si="4"/>
        <v>-5.5564484650885149E-3</v>
      </c>
      <c r="D106" s="4">
        <f t="shared" si="5"/>
        <v>0.14468076671490016</v>
      </c>
      <c r="E106" s="3">
        <v>1120.48</v>
      </c>
      <c r="F106" s="4">
        <f t="shared" si="6"/>
        <v>5.000357168367664E-4</v>
      </c>
      <c r="G106" s="4">
        <f t="shared" si="7"/>
        <v>0.12047999999999992</v>
      </c>
      <c r="H106" s="5">
        <f>Summary!$E$12*(1+G106)</f>
        <v>5378304</v>
      </c>
      <c r="I106" s="5">
        <f>Summary!$E$12*(1+D106)</f>
        <v>5494467.6802315209</v>
      </c>
    </row>
    <row r="107" spans="1:9" ht="15" customHeight="1" x14ac:dyDescent="0.25">
      <c r="A107" s="6" t="s">
        <v>114</v>
      </c>
      <c r="B107" s="7">
        <v>26144.01</v>
      </c>
      <c r="C107" s="8">
        <f t="shared" si="4"/>
        <v>6.0573526355891527E-3</v>
      </c>
      <c r="D107" s="8">
        <f t="shared" si="5"/>
        <v>0.15161450177406888</v>
      </c>
      <c r="E107" s="7">
        <v>1124.32</v>
      </c>
      <c r="F107" s="8">
        <f t="shared" si="6"/>
        <v>3.4271026702841212E-3</v>
      </c>
      <c r="G107" s="8">
        <f t="shared" si="7"/>
        <v>0.12431999999999999</v>
      </c>
      <c r="H107" s="9">
        <f>Summary!$E$12*(1+G107)</f>
        <v>5396736</v>
      </c>
      <c r="I107" s="9">
        <f>Summary!$E$12*(1+D107)</f>
        <v>5527749.6085155308</v>
      </c>
    </row>
    <row r="108" spans="1:9" ht="15" customHeight="1" x14ac:dyDescent="0.25">
      <c r="A108" s="2" t="s">
        <v>115</v>
      </c>
      <c r="B108" s="3">
        <v>26027.17</v>
      </c>
      <c r="C108" s="4">
        <f t="shared" si="4"/>
        <v>-4.4690925378317869E-3</v>
      </c>
      <c r="D108" s="4">
        <f t="shared" si="5"/>
        <v>0.14646782999773134</v>
      </c>
      <c r="E108" s="3">
        <v>1124.7</v>
      </c>
      <c r="F108" s="4">
        <f t="shared" si="6"/>
        <v>3.3798206916180185E-4</v>
      </c>
      <c r="G108" s="4">
        <f t="shared" si="7"/>
        <v>0.12470000000000003</v>
      </c>
      <c r="H108" s="5">
        <f>Summary!$E$12*(1+G108)</f>
        <v>5398560</v>
      </c>
      <c r="I108" s="5">
        <f>Summary!$E$12*(1+D108)</f>
        <v>5503045.5839891108</v>
      </c>
    </row>
    <row r="109" spans="1:9" ht="15" customHeight="1" x14ac:dyDescent="0.25">
      <c r="A109" s="6" t="s">
        <v>116</v>
      </c>
      <c r="B109" s="7">
        <v>25903.83</v>
      </c>
      <c r="C109" s="8">
        <f t="shared" si="4"/>
        <v>-4.7388940096060317E-3</v>
      </c>
      <c r="D109" s="8">
        <f t="shared" si="5"/>
        <v>0.14103484046594916</v>
      </c>
      <c r="E109" s="7">
        <v>1124.3399999999999</v>
      </c>
      <c r="F109" s="8">
        <f t="shared" si="6"/>
        <v>-3.2008535609506783E-4</v>
      </c>
      <c r="G109" s="8">
        <f t="shared" si="7"/>
        <v>0.1243399999999999</v>
      </c>
      <c r="H109" s="9">
        <f>Summary!$E$12*(1+G109)</f>
        <v>5396831.9999999991</v>
      </c>
      <c r="I109" s="9">
        <f>Summary!$E$12*(1+D109)</f>
        <v>5476967.2342365561</v>
      </c>
    </row>
    <row r="110" spans="1:9" ht="15" customHeight="1" x14ac:dyDescent="0.25">
      <c r="A110" s="2" t="s">
        <v>117</v>
      </c>
      <c r="B110" s="3">
        <v>25990.15</v>
      </c>
      <c r="C110" s="4">
        <f t="shared" si="4"/>
        <v>3.3323257603219414E-3</v>
      </c>
      <c r="D110" s="4">
        <f t="shared" si="5"/>
        <v>0.14483714025825867</v>
      </c>
      <c r="E110" s="3">
        <v>1125.5899999999999</v>
      </c>
      <c r="F110" s="4">
        <f t="shared" si="6"/>
        <v>1.1117633456072529E-3</v>
      </c>
      <c r="G110" s="4">
        <f t="shared" si="7"/>
        <v>0.12558999999999987</v>
      </c>
      <c r="H110" s="5">
        <f>Summary!$E$12*(1+G110)</f>
        <v>5402831.9999999991</v>
      </c>
      <c r="I110" s="5">
        <f>Summary!$E$12*(1+D110)</f>
        <v>5495218.2732396415</v>
      </c>
    </row>
    <row r="111" spans="1:9" ht="15" customHeight="1" x14ac:dyDescent="0.25">
      <c r="A111" s="6" t="s">
        <v>118</v>
      </c>
      <c r="B111" s="7">
        <v>25990</v>
      </c>
      <c r="C111" s="8">
        <f t="shared" si="4"/>
        <v>-5.7714172485567872E-6</v>
      </c>
      <c r="D111" s="8">
        <f t="shared" si="5"/>
        <v>0.14483053292544068</v>
      </c>
      <c r="E111" s="7">
        <v>1126.53</v>
      </c>
      <c r="F111" s="8">
        <f t="shared" si="6"/>
        <v>8.3511758277876602E-4</v>
      </c>
      <c r="G111" s="8">
        <f t="shared" si="7"/>
        <v>0.12653000000000003</v>
      </c>
      <c r="H111" s="9">
        <f>Summary!$E$12*(1+G111)</f>
        <v>5407344</v>
      </c>
      <c r="I111" s="9">
        <f>Summary!$E$12*(1+D111)</f>
        <v>5495186.5580421155</v>
      </c>
    </row>
    <row r="112" spans="1:9" ht="15" customHeight="1" x14ac:dyDescent="0.25">
      <c r="A112" s="2" t="s">
        <v>119</v>
      </c>
      <c r="B112" s="3">
        <v>26096.9</v>
      </c>
      <c r="C112" s="4">
        <f t="shared" si="4"/>
        <v>4.1131204309350355E-3</v>
      </c>
      <c r="D112" s="4">
        <f t="shared" si="5"/>
        <v>0.14953935878037461</v>
      </c>
      <c r="E112" s="3">
        <v>1128.07</v>
      </c>
      <c r="F112" s="4">
        <f t="shared" si="6"/>
        <v>1.3670297284582578E-3</v>
      </c>
      <c r="G112" s="4">
        <f t="shared" si="7"/>
        <v>0.12806999999999991</v>
      </c>
      <c r="H112" s="5">
        <f>Summary!$E$12*(1+G112)</f>
        <v>5414736</v>
      </c>
      <c r="I112" s="5">
        <f>Summary!$E$12*(1+D112)</f>
        <v>5517788.9221457979</v>
      </c>
    </row>
    <row r="113" spans="1:9" ht="15" customHeight="1" x14ac:dyDescent="0.25">
      <c r="A113" s="6" t="s">
        <v>120</v>
      </c>
      <c r="B113" s="7">
        <v>26193.55</v>
      </c>
      <c r="C113" s="8">
        <f t="shared" si="4"/>
        <v>3.7035050140055148E-3</v>
      </c>
      <c r="D113" s="8">
        <f t="shared" si="5"/>
        <v>0.15379668355941423</v>
      </c>
      <c r="E113" s="7">
        <v>1128.67</v>
      </c>
      <c r="F113" s="8">
        <f t="shared" si="6"/>
        <v>5.3188188676256409E-4</v>
      </c>
      <c r="G113" s="8">
        <f t="shared" si="7"/>
        <v>0.12867000000000006</v>
      </c>
      <c r="H113" s="9">
        <f>Summary!$E$12*(1+G113)</f>
        <v>5417616</v>
      </c>
      <c r="I113" s="9">
        <f>Summary!$E$12*(1+D113)</f>
        <v>5538224.0810851883</v>
      </c>
    </row>
    <row r="114" spans="1:9" ht="15" customHeight="1" x14ac:dyDescent="0.25">
      <c r="A114" s="2" t="s">
        <v>121</v>
      </c>
      <c r="B114" s="3">
        <v>26040.92</v>
      </c>
      <c r="C114" s="4">
        <f t="shared" si="4"/>
        <v>-5.8270070303567678E-3</v>
      </c>
      <c r="D114" s="4">
        <f t="shared" si="5"/>
        <v>0.1470735021727112</v>
      </c>
      <c r="E114" s="3">
        <v>1127.46</v>
      </c>
      <c r="F114" s="4">
        <f t="shared" si="6"/>
        <v>-1.0720582632656184E-3</v>
      </c>
      <c r="G114" s="4">
        <f t="shared" si="7"/>
        <v>0.12746000000000013</v>
      </c>
      <c r="H114" s="5">
        <f>Summary!$E$12*(1+G114)</f>
        <v>5411808.0000000009</v>
      </c>
      <c r="I114" s="5">
        <f>Summary!$E$12*(1+D114)</f>
        <v>5505952.8104290133</v>
      </c>
    </row>
    <row r="115" spans="1:9" ht="15" customHeight="1" x14ac:dyDescent="0.25">
      <c r="A115" s="6" t="s">
        <v>122</v>
      </c>
      <c r="B115" s="7">
        <v>26148.82</v>
      </c>
      <c r="C115" s="8">
        <f t="shared" si="4"/>
        <v>4.1434788018241964E-3</v>
      </c>
      <c r="D115" s="8">
        <f t="shared" si="5"/>
        <v>0.15182637691309808</v>
      </c>
      <c r="E115" s="7">
        <v>1128.26</v>
      </c>
      <c r="F115" s="8">
        <f t="shared" si="6"/>
        <v>7.0955954091500573E-4</v>
      </c>
      <c r="G115" s="8">
        <f t="shared" si="7"/>
        <v>0.12826000000000004</v>
      </c>
      <c r="H115" s="9">
        <f>Summary!$E$12*(1+G115)</f>
        <v>5415648</v>
      </c>
      <c r="I115" s="9">
        <f>Summary!$E$12*(1+D115)</f>
        <v>5528766.6091828709</v>
      </c>
    </row>
    <row r="116" spans="1:9" ht="15" customHeight="1" x14ac:dyDescent="0.25">
      <c r="A116" s="2" t="s">
        <v>123</v>
      </c>
      <c r="B116" s="3">
        <v>25939.52</v>
      </c>
      <c r="C116" s="4">
        <f t="shared" si="4"/>
        <v>-8.0041852748995446E-3</v>
      </c>
      <c r="D116" s="4">
        <f t="shared" si="5"/>
        <v>0.1426069451877694</v>
      </c>
      <c r="E116" s="3">
        <v>1127.49</v>
      </c>
      <c r="F116" s="4">
        <f t="shared" si="6"/>
        <v>-6.8246680729622256E-4</v>
      </c>
      <c r="G116" s="4">
        <f t="shared" si="7"/>
        <v>0.1274900000000001</v>
      </c>
      <c r="H116" s="5">
        <f>Summary!$E$12*(1+G116)</f>
        <v>5411952.0000000009</v>
      </c>
      <c r="I116" s="5">
        <f>Summary!$E$12*(1+D116)</f>
        <v>5484513.3369012931</v>
      </c>
    </row>
    <row r="117" spans="1:9" ht="15" customHeight="1" x14ac:dyDescent="0.25">
      <c r="A117" s="6" t="s">
        <v>124</v>
      </c>
      <c r="B117" s="7">
        <v>25778.57</v>
      </c>
      <c r="C117" s="8">
        <f t="shared" si="4"/>
        <v>-6.2048179765855638E-3</v>
      </c>
      <c r="D117" s="8">
        <f t="shared" si="5"/>
        <v>0.13551727707409689</v>
      </c>
      <c r="E117" s="7">
        <v>1125.68</v>
      </c>
      <c r="F117" s="8">
        <f t="shared" si="6"/>
        <v>-1.6053357457714856E-3</v>
      </c>
      <c r="G117" s="8">
        <f t="shared" si="7"/>
        <v>0.12568000000000001</v>
      </c>
      <c r="H117" s="9">
        <f>Summary!$E$12*(1+G117)</f>
        <v>5403264</v>
      </c>
      <c r="I117" s="9">
        <f>Summary!$E$12*(1+D117)</f>
        <v>5450482.929955665</v>
      </c>
    </row>
    <row r="118" spans="1:9" ht="15" customHeight="1" x14ac:dyDescent="0.25">
      <c r="A118" s="2" t="s">
        <v>125</v>
      </c>
      <c r="B118" s="3">
        <v>25606.02</v>
      </c>
      <c r="C118" s="4">
        <f t="shared" si="4"/>
        <v>-6.6935442889189956E-3</v>
      </c>
      <c r="D118" s="4">
        <f t="shared" si="5"/>
        <v>0.12791664188916863</v>
      </c>
      <c r="E118" s="3">
        <v>1124.96</v>
      </c>
      <c r="F118" s="4">
        <f t="shared" si="6"/>
        <v>-6.396133892403455E-4</v>
      </c>
      <c r="G118" s="4">
        <f t="shared" si="7"/>
        <v>0.12495999999999996</v>
      </c>
      <c r="H118" s="5">
        <f>Summary!$E$12*(1+G118)</f>
        <v>5399808</v>
      </c>
      <c r="I118" s="5">
        <f>Summary!$E$12*(1+D118)</f>
        <v>5413999.881068009</v>
      </c>
    </row>
    <row r="119" spans="1:9" ht="15" customHeight="1" x14ac:dyDescent="0.25">
      <c r="A119" s="6" t="s">
        <v>126</v>
      </c>
      <c r="B119" s="7">
        <v>25644.36</v>
      </c>
      <c r="C119" s="8">
        <f t="shared" si="4"/>
        <v>1.4973041495711659E-3</v>
      </c>
      <c r="D119" s="8">
        <f t="shared" si="5"/>
        <v>0.12960547615743967</v>
      </c>
      <c r="E119" s="7">
        <v>1126.45</v>
      </c>
      <c r="F119" s="8">
        <f t="shared" si="6"/>
        <v>1.324491537476824E-3</v>
      </c>
      <c r="G119" s="8">
        <f t="shared" si="7"/>
        <v>0.12644999999999995</v>
      </c>
      <c r="H119" s="9">
        <f>Summary!$E$12*(1+G119)</f>
        <v>5406960</v>
      </c>
      <c r="I119" s="9">
        <f>Summary!$E$12*(1+D119)</f>
        <v>5422106.2855557101</v>
      </c>
    </row>
    <row r="120" spans="1:9" ht="15" customHeight="1" x14ac:dyDescent="0.25">
      <c r="A120" s="2" t="s">
        <v>127</v>
      </c>
      <c r="B120" s="3">
        <v>25574.720000000001</v>
      </c>
      <c r="C120" s="4">
        <f t="shared" si="4"/>
        <v>-2.7156068624836216E-3</v>
      </c>
      <c r="D120" s="4">
        <f t="shared" si="5"/>
        <v>0.12653791177448737</v>
      </c>
      <c r="E120" s="3">
        <v>1126.6199999999999</v>
      </c>
      <c r="F120" s="4">
        <f t="shared" si="6"/>
        <v>1.5091659638666322E-4</v>
      </c>
      <c r="G120" s="4">
        <f t="shared" si="7"/>
        <v>0.12661999999999995</v>
      </c>
      <c r="H120" s="5">
        <f>Summary!$E$12*(1+G120)</f>
        <v>5407776</v>
      </c>
      <c r="I120" s="5">
        <f>Summary!$E$12*(1+D120)</f>
        <v>5407381.9765175395</v>
      </c>
    </row>
    <row r="121" spans="1:9" ht="15" customHeight="1" x14ac:dyDescent="0.25">
      <c r="A121" s="6" t="s">
        <v>128</v>
      </c>
      <c r="B121" s="7">
        <v>25410.63</v>
      </c>
      <c r="C121" s="8">
        <f t="shared" si="4"/>
        <v>-6.4161015252561793E-3</v>
      </c>
      <c r="D121" s="8">
        <f t="shared" si="5"/>
        <v>0.11930993016049229</v>
      </c>
      <c r="E121" s="7">
        <v>1124.6199999999999</v>
      </c>
      <c r="F121" s="8">
        <f t="shared" si="6"/>
        <v>-1.7752214588769855E-3</v>
      </c>
      <c r="G121" s="8">
        <f t="shared" si="7"/>
        <v>0.12461999999999995</v>
      </c>
      <c r="H121" s="9">
        <f>Summary!$E$12*(1+G121)</f>
        <v>5398176</v>
      </c>
      <c r="I121" s="9">
        <f>Summary!$E$12*(1+D121)</f>
        <v>5372687.6647703629</v>
      </c>
    </row>
    <row r="122" spans="1:9" ht="15" customHeight="1" x14ac:dyDescent="0.25">
      <c r="A122" s="2" t="s">
        <v>129</v>
      </c>
      <c r="B122" s="3">
        <v>25401.98</v>
      </c>
      <c r="C122" s="4">
        <f t="shared" si="4"/>
        <v>-3.4040871871343636E-4</v>
      </c>
      <c r="D122" s="4">
        <f t="shared" si="5"/>
        <v>0.11892890730132311</v>
      </c>
      <c r="E122" s="3">
        <v>1126.2</v>
      </c>
      <c r="F122" s="4">
        <f t="shared" si="6"/>
        <v>1.4049189948606156E-3</v>
      </c>
      <c r="G122" s="4">
        <f t="shared" si="7"/>
        <v>0.12620000000000009</v>
      </c>
      <c r="H122" s="5">
        <f>Summary!$E$12*(1+G122)</f>
        <v>5405760</v>
      </c>
      <c r="I122" s="5">
        <f>Summary!$E$12*(1+D122)</f>
        <v>5370858.7550463509</v>
      </c>
    </row>
    <row r="123" spans="1:9" ht="15" customHeight="1" x14ac:dyDescent="0.25">
      <c r="A123" s="6" t="s">
        <v>130</v>
      </c>
      <c r="B123" s="7">
        <v>25227.79</v>
      </c>
      <c r="C123" s="8">
        <f t="shared" si="4"/>
        <v>-6.8573394672383214E-3</v>
      </c>
      <c r="D123" s="8">
        <f t="shared" si="5"/>
        <v>0.11125603194425171</v>
      </c>
      <c r="E123" s="7">
        <v>1124.26</v>
      </c>
      <c r="F123" s="8">
        <f t="shared" si="6"/>
        <v>-1.7226069969810132E-3</v>
      </c>
      <c r="G123" s="8">
        <f t="shared" si="7"/>
        <v>0.12426000000000004</v>
      </c>
      <c r="H123" s="9">
        <f>Summary!$E$12*(1+G123)</f>
        <v>5396448</v>
      </c>
      <c r="I123" s="9">
        <f>Summary!$E$12*(1+D123)</f>
        <v>5334028.9533324083</v>
      </c>
    </row>
    <row r="124" spans="1:9" ht="15" customHeight="1" x14ac:dyDescent="0.25">
      <c r="A124" s="2" t="s">
        <v>131</v>
      </c>
      <c r="B124" s="3">
        <v>25135.48</v>
      </c>
      <c r="C124" s="4">
        <f t="shared" si="4"/>
        <v>-3.6590601079207197E-3</v>
      </c>
      <c r="D124" s="4">
        <f t="shared" si="5"/>
        <v>0.10718987932807833</v>
      </c>
      <c r="E124" s="3">
        <v>1124.1600000000001</v>
      </c>
      <c r="F124" s="4">
        <f t="shared" si="6"/>
        <v>-8.8947396509664323E-5</v>
      </c>
      <c r="G124" s="4">
        <f t="shared" si="7"/>
        <v>0.12416000000000005</v>
      </c>
      <c r="H124" s="5">
        <f>Summary!$E$12*(1+G124)</f>
        <v>5395968</v>
      </c>
      <c r="I124" s="5">
        <f>Summary!$E$12*(1+D124)</f>
        <v>5314511.4207747756</v>
      </c>
    </row>
    <row r="125" spans="1:9" ht="15" customHeight="1" x14ac:dyDescent="0.25">
      <c r="A125" s="6" t="s">
        <v>132</v>
      </c>
      <c r="B125" s="7">
        <v>25073.48</v>
      </c>
      <c r="C125" s="8">
        <f t="shared" si="4"/>
        <v>-2.4666328234034252E-3</v>
      </c>
      <c r="D125" s="8">
        <f t="shared" si="5"/>
        <v>0.10445884842998754</v>
      </c>
      <c r="E125" s="7">
        <v>1123.1300000000001</v>
      </c>
      <c r="F125" s="8">
        <f t="shared" si="6"/>
        <v>-9.1623968118415E-4</v>
      </c>
      <c r="G125" s="8">
        <f t="shared" si="7"/>
        <v>0.12313000000000018</v>
      </c>
      <c r="H125" s="9">
        <f>Summary!$E$12*(1+G125)</f>
        <v>5391024.0000000009</v>
      </c>
      <c r="I125" s="9">
        <f>Summary!$E$12*(1+D125)</f>
        <v>5301402.4724639403</v>
      </c>
    </row>
    <row r="126" spans="1:9" ht="15" customHeight="1" x14ac:dyDescent="0.25">
      <c r="A126" s="2" t="s">
        <v>133</v>
      </c>
      <c r="B126" s="3">
        <v>24971.98</v>
      </c>
      <c r="C126" s="4">
        <f t="shared" si="4"/>
        <v>-4.0481018191331763E-3</v>
      </c>
      <c r="D126" s="4">
        <f t="shared" si="5"/>
        <v>9.9987886556500483E-2</v>
      </c>
      <c r="E126" s="3">
        <v>1120.75</v>
      </c>
      <c r="F126" s="4">
        <f t="shared" si="6"/>
        <v>-2.1190779339881338E-3</v>
      </c>
      <c r="G126" s="4">
        <f t="shared" si="7"/>
        <v>0.12074999999999991</v>
      </c>
      <c r="H126" s="5">
        <f>Summary!$E$12*(1+G126)</f>
        <v>5379600</v>
      </c>
      <c r="I126" s="5">
        <f>Summary!$E$12*(1+D126)</f>
        <v>5279941.8554712022</v>
      </c>
    </row>
    <row r="127" spans="1:9" ht="15" customHeight="1" x14ac:dyDescent="0.25">
      <c r="A127" s="6" t="s">
        <v>134</v>
      </c>
      <c r="B127" s="7">
        <v>24803.4</v>
      </c>
      <c r="C127" s="8">
        <f t="shared" si="4"/>
        <v>-6.7507662588227602E-3</v>
      </c>
      <c r="D127" s="8">
        <f t="shared" si="5"/>
        <v>9.2562125446820964E-2</v>
      </c>
      <c r="E127" s="7">
        <v>1119.76</v>
      </c>
      <c r="F127" s="8">
        <f t="shared" si="6"/>
        <v>-8.8333705108190053E-4</v>
      </c>
      <c r="G127" s="8">
        <f t="shared" si="7"/>
        <v>0.11976000000000009</v>
      </c>
      <c r="H127" s="9">
        <f>Summary!$E$12*(1+G127)</f>
        <v>5374848</v>
      </c>
      <c r="I127" s="9">
        <f>Summary!$E$12*(1+D127)</f>
        <v>5244298.2021447411</v>
      </c>
    </row>
    <row r="128" spans="1:9" ht="15" customHeight="1" x14ac:dyDescent="0.25">
      <c r="A128" s="2" t="s">
        <v>135</v>
      </c>
      <c r="B128" s="3">
        <v>24599.06</v>
      </c>
      <c r="C128" s="4">
        <f t="shared" si="4"/>
        <v>-8.2383866727948618E-3</v>
      </c>
      <c r="D128" s="4">
        <f t="shared" si="5"/>
        <v>8.356117619333947E-2</v>
      </c>
      <c r="E128" s="3">
        <v>1118.49</v>
      </c>
      <c r="F128" s="4">
        <f t="shared" si="6"/>
        <v>-1.1341716082017284E-3</v>
      </c>
      <c r="G128" s="4">
        <f t="shared" si="7"/>
        <v>0.11848999999999998</v>
      </c>
      <c r="H128" s="5">
        <f>Summary!$E$12*(1+G128)</f>
        <v>5368752</v>
      </c>
      <c r="I128" s="5">
        <f>Summary!$E$12*(1+D128)</f>
        <v>5201093.6457280293</v>
      </c>
    </row>
    <row r="129" spans="1:9" ht="15" customHeight="1" x14ac:dyDescent="0.25">
      <c r="A129" s="6" t="s">
        <v>136</v>
      </c>
      <c r="B129" s="7">
        <v>24753.919999999998</v>
      </c>
      <c r="C129" s="8">
        <f t="shared" si="4"/>
        <v>6.2953625057216023E-3</v>
      </c>
      <c r="D129" s="8">
        <f t="shared" si="5"/>
        <v>9.0382586594602632E-2</v>
      </c>
      <c r="E129" s="7">
        <v>1120.1099999999999</v>
      </c>
      <c r="F129" s="8">
        <f t="shared" si="6"/>
        <v>1.4483812997880818E-3</v>
      </c>
      <c r="G129" s="8">
        <f t="shared" si="7"/>
        <v>0.12010999999999994</v>
      </c>
      <c r="H129" s="9">
        <f>Summary!$E$12*(1+G129)</f>
        <v>5376528</v>
      </c>
      <c r="I129" s="9">
        <f>Summary!$E$12*(1+D129)</f>
        <v>5233836.415654093</v>
      </c>
    </row>
    <row r="130" spans="1:9" ht="15" customHeight="1" x14ac:dyDescent="0.25">
      <c r="A130" s="2" t="s">
        <v>137</v>
      </c>
      <c r="B130" s="3">
        <v>24425.53</v>
      </c>
      <c r="C130" s="4">
        <f t="shared" si="4"/>
        <v>-1.326618167950766E-2</v>
      </c>
      <c r="D130" s="4">
        <f t="shared" si="5"/>
        <v>7.591737310066704E-2</v>
      </c>
      <c r="E130" s="3">
        <v>1117.71</v>
      </c>
      <c r="F130" s="4">
        <f t="shared" si="6"/>
        <v>-2.1426467043413888E-3</v>
      </c>
      <c r="G130" s="4">
        <f t="shared" si="7"/>
        <v>0.11770999999999998</v>
      </c>
      <c r="H130" s="5">
        <f>Summary!$E$12*(1+G130)</f>
        <v>5365008</v>
      </c>
      <c r="I130" s="5">
        <f>Summary!$E$12*(1+D130)</f>
        <v>5164403.3908832017</v>
      </c>
    </row>
    <row r="131" spans="1:9" ht="15" customHeight="1" x14ac:dyDescent="0.25">
      <c r="A131" s="6" t="s">
        <v>138</v>
      </c>
      <c r="B131" s="7">
        <v>24457.58</v>
      </c>
      <c r="C131" s="8">
        <f t="shared" ref="C131:C194" si="8">B131/B130-1</f>
        <v>1.312151670813444E-3</v>
      </c>
      <c r="D131" s="8">
        <f t="shared" ref="D131:D194" si="9">B131/$B$2-1</f>
        <v>7.7329139879438236E-2</v>
      </c>
      <c r="E131" s="7">
        <v>1117.6400000000001</v>
      </c>
      <c r="F131" s="8">
        <f t="shared" ref="F131:F194" si="10">E131/E130-1</f>
        <v>-6.2628051999080725E-5</v>
      </c>
      <c r="G131" s="8">
        <f t="shared" ref="G131:G194" si="11">E131/$E$2-1</f>
        <v>0.11764000000000019</v>
      </c>
      <c r="H131" s="9">
        <f>Summary!$E$12*(1+G131)</f>
        <v>5364672.0000000009</v>
      </c>
      <c r="I131" s="9">
        <f>Summary!$E$12*(1+D131)</f>
        <v>5171179.8714213036</v>
      </c>
    </row>
    <row r="132" spans="1:9" ht="15" customHeight="1" x14ac:dyDescent="0.25">
      <c r="A132" s="2" t="s">
        <v>139</v>
      </c>
      <c r="B132" s="3">
        <v>24322.77</v>
      </c>
      <c r="C132" s="4">
        <f t="shared" si="8"/>
        <v>-5.5119926010668285E-3</v>
      </c>
      <c r="D132" s="4">
        <f t="shared" si="9"/>
        <v>7.139090963150907E-2</v>
      </c>
      <c r="E132" s="3">
        <v>1115.96</v>
      </c>
      <c r="F132" s="4">
        <f t="shared" si="10"/>
        <v>-1.503167388425708E-3</v>
      </c>
      <c r="G132" s="4">
        <f t="shared" si="11"/>
        <v>0.11596000000000006</v>
      </c>
      <c r="H132" s="5">
        <f>Summary!$E$12*(1+G132)</f>
        <v>5356608</v>
      </c>
      <c r="I132" s="5">
        <f>Summary!$E$12*(1+D132)</f>
        <v>5142676.3662312431</v>
      </c>
    </row>
    <row r="133" spans="1:9" ht="15" customHeight="1" x14ac:dyDescent="0.25">
      <c r="A133" s="6" t="s">
        <v>140</v>
      </c>
      <c r="B133" s="7">
        <v>24203.3</v>
      </c>
      <c r="C133" s="8">
        <f t="shared" si="8"/>
        <v>-4.9118583121906534E-3</v>
      </c>
      <c r="D133" s="8">
        <f t="shared" si="9"/>
        <v>6.6128389286430167E-2</v>
      </c>
      <c r="E133" s="7">
        <v>1114.98</v>
      </c>
      <c r="F133" s="8">
        <f t="shared" si="10"/>
        <v>-8.7816767626081038E-4</v>
      </c>
      <c r="G133" s="8">
        <f t="shared" si="11"/>
        <v>0.11498000000000008</v>
      </c>
      <c r="H133" s="9">
        <f>Summary!$E$12*(1+G133)</f>
        <v>5351904</v>
      </c>
      <c r="I133" s="9">
        <f>Summary!$E$12*(1+D133)</f>
        <v>5117416.2685748646</v>
      </c>
    </row>
    <row r="134" spans="1:9" ht="15" customHeight="1" x14ac:dyDescent="0.25">
      <c r="A134" s="2" t="s">
        <v>141</v>
      </c>
      <c r="B134" s="3">
        <v>24419.95</v>
      </c>
      <c r="C134" s="4">
        <f t="shared" si="8"/>
        <v>8.9512587126550081E-3</v>
      </c>
      <c r="D134" s="4">
        <f t="shared" si="9"/>
        <v>7.5671580319839116E-2</v>
      </c>
      <c r="E134" s="3">
        <v>1119.19</v>
      </c>
      <c r="F134" s="4">
        <f t="shared" si="10"/>
        <v>3.7758524816589034E-3</v>
      </c>
      <c r="G134" s="4">
        <f t="shared" si="11"/>
        <v>0.11919000000000013</v>
      </c>
      <c r="H134" s="5">
        <f>Summary!$E$12*(1+G134)</f>
        <v>5372112.0000000009</v>
      </c>
      <c r="I134" s="5">
        <f>Summary!$E$12*(1+D134)</f>
        <v>5163223.5855352273</v>
      </c>
    </row>
    <row r="135" spans="1:9" ht="15" customHeight="1" x14ac:dyDescent="0.25">
      <c r="A135" s="6" t="s">
        <v>142</v>
      </c>
      <c r="B135" s="7">
        <v>24159.78</v>
      </c>
      <c r="C135" s="8">
        <f t="shared" si="8"/>
        <v>-1.0653993968046671E-2</v>
      </c>
      <c r="D135" s="8">
        <f t="shared" si="9"/>
        <v>6.4211381791512201E-2</v>
      </c>
      <c r="E135" s="7">
        <v>1117.9100000000001</v>
      </c>
      <c r="F135" s="8">
        <f t="shared" si="10"/>
        <v>-1.1436842716607831E-3</v>
      </c>
      <c r="G135" s="8">
        <f t="shared" si="11"/>
        <v>0.11791000000000018</v>
      </c>
      <c r="H135" s="9">
        <f>Summary!$E$12*(1+G135)</f>
        <v>5365968.0000000009</v>
      </c>
      <c r="I135" s="9">
        <f>Summary!$E$12*(1+D135)</f>
        <v>5108214.6325992588</v>
      </c>
    </row>
    <row r="136" spans="1:9" ht="15" customHeight="1" x14ac:dyDescent="0.25">
      <c r="A136" s="2" t="s">
        <v>143</v>
      </c>
      <c r="B136" s="3">
        <v>24163.51</v>
      </c>
      <c r="C136" s="4">
        <f t="shared" si="8"/>
        <v>1.5438882307705626E-4</v>
      </c>
      <c r="D136" s="4">
        <f t="shared" si="9"/>
        <v>6.4375684134252209E-2</v>
      </c>
      <c r="E136" s="3">
        <v>1117.71</v>
      </c>
      <c r="F136" s="4">
        <f t="shared" si="10"/>
        <v>-1.7890527860031646E-4</v>
      </c>
      <c r="G136" s="4">
        <f t="shared" si="11"/>
        <v>0.11770999999999998</v>
      </c>
      <c r="H136" s="5">
        <f>Summary!$E$12*(1+G136)</f>
        <v>5365008</v>
      </c>
      <c r="I136" s="5">
        <f>Summary!$E$12*(1+D136)</f>
        <v>5109003.2838444104</v>
      </c>
    </row>
    <row r="137" spans="1:9" ht="15" customHeight="1" x14ac:dyDescent="0.25">
      <c r="A137" s="6" t="s">
        <v>144</v>
      </c>
      <c r="B137" s="7">
        <v>24088.81</v>
      </c>
      <c r="C137" s="8">
        <f t="shared" si="8"/>
        <v>-3.0914382885597336E-3</v>
      </c>
      <c r="D137" s="8">
        <f t="shared" si="9"/>
        <v>6.1085232390907462E-2</v>
      </c>
      <c r="E137" s="7">
        <v>1117.8699999999999</v>
      </c>
      <c r="F137" s="8">
        <f t="shared" si="10"/>
        <v>1.4314983314078766E-4</v>
      </c>
      <c r="G137" s="8">
        <f t="shared" si="11"/>
        <v>0.11786999999999992</v>
      </c>
      <c r="H137" s="9">
        <f>Summary!$E$12*(1+G137)</f>
        <v>5365776</v>
      </c>
      <c r="I137" s="9">
        <f>Summary!$E$12*(1+D137)</f>
        <v>5093209.1154763559</v>
      </c>
    </row>
    <row r="138" spans="1:9" ht="15" customHeight="1" x14ac:dyDescent="0.25">
      <c r="A138" s="2" t="s">
        <v>145</v>
      </c>
      <c r="B138" s="3">
        <v>24255.83</v>
      </c>
      <c r="C138" s="4">
        <f t="shared" si="8"/>
        <v>6.9335097914757782E-3</v>
      </c>
      <c r="D138" s="4">
        <f t="shared" si="9"/>
        <v>6.8442277239280314E-2</v>
      </c>
      <c r="E138" s="3">
        <v>1119.23</v>
      </c>
      <c r="F138" s="4">
        <f t="shared" si="10"/>
        <v>1.2165994256936319E-3</v>
      </c>
      <c r="G138" s="4">
        <f t="shared" si="11"/>
        <v>0.11922999999999995</v>
      </c>
      <c r="H138" s="5">
        <f>Summary!$E$12*(1+G138)</f>
        <v>5372304</v>
      </c>
      <c r="I138" s="5">
        <f>Summary!$E$12*(1+D138)</f>
        <v>5128522.9307485456</v>
      </c>
    </row>
    <row r="139" spans="1:9" ht="15" customHeight="1" x14ac:dyDescent="0.25">
      <c r="A139" s="6" t="s">
        <v>146</v>
      </c>
      <c r="B139" s="7">
        <v>24179.200000000001</v>
      </c>
      <c r="C139" s="8">
        <f t="shared" si="8"/>
        <v>-3.1592404795053319E-3</v>
      </c>
      <c r="D139" s="8">
        <f t="shared" si="9"/>
        <v>6.5066811147010961E-2</v>
      </c>
      <c r="E139" s="7">
        <v>1118.3599999999999</v>
      </c>
      <c r="F139" s="8">
        <f t="shared" si="10"/>
        <v>-7.7732012186959576E-4</v>
      </c>
      <c r="G139" s="8">
        <f t="shared" si="11"/>
        <v>0.1183599999999998</v>
      </c>
      <c r="H139" s="9">
        <f>Summary!$E$12*(1+G139)</f>
        <v>5368127.9999999991</v>
      </c>
      <c r="I139" s="9">
        <f>Summary!$E$12*(1+D139)</f>
        <v>5112320.6935056522</v>
      </c>
    </row>
    <row r="140" spans="1:9" ht="15" customHeight="1" x14ac:dyDescent="0.25">
      <c r="A140" s="2" t="s">
        <v>147</v>
      </c>
      <c r="B140" s="3">
        <v>24024.62</v>
      </c>
      <c r="C140" s="4">
        <f t="shared" si="8"/>
        <v>-6.3930982001059178E-3</v>
      </c>
      <c r="D140" s="4">
        <f t="shared" si="9"/>
        <v>5.8257734433674546E-2</v>
      </c>
      <c r="E140" s="3">
        <v>1118.08</v>
      </c>
      <c r="F140" s="4">
        <f t="shared" si="10"/>
        <v>-2.5036660824773183E-4</v>
      </c>
      <c r="G140" s="4">
        <f t="shared" si="11"/>
        <v>0.11807999999999996</v>
      </c>
      <c r="H140" s="5">
        <f>Summary!$E$12*(1+G140)</f>
        <v>5366784</v>
      </c>
      <c r="I140" s="5">
        <f>Summary!$E$12*(1+D140)</f>
        <v>5079637.1252816375</v>
      </c>
    </row>
    <row r="141" spans="1:9" ht="15" customHeight="1" x14ac:dyDescent="0.25">
      <c r="A141" s="6" t="s">
        <v>148</v>
      </c>
      <c r="B141" s="7">
        <v>23854.58</v>
      </c>
      <c r="C141" s="8">
        <f t="shared" si="8"/>
        <v>-7.0777394189792675E-3</v>
      </c>
      <c r="D141" s="8">
        <f t="shared" si="9"/>
        <v>5.0767661951233611E-2</v>
      </c>
      <c r="E141" s="7">
        <v>1116.26</v>
      </c>
      <c r="F141" s="8">
        <f t="shared" si="10"/>
        <v>-1.6277904979965507E-3</v>
      </c>
      <c r="G141" s="8">
        <f t="shared" si="11"/>
        <v>0.11626000000000003</v>
      </c>
      <c r="H141" s="9">
        <f>Summary!$E$12*(1+G141)</f>
        <v>5358048</v>
      </c>
      <c r="I141" s="9">
        <f>Summary!$E$12*(1+D141)</f>
        <v>5043684.7773659211</v>
      </c>
    </row>
    <row r="142" spans="1:9" ht="15" customHeight="1" x14ac:dyDescent="0.25">
      <c r="A142" s="2" t="s">
        <v>149</v>
      </c>
      <c r="B142" s="3">
        <v>24004.76</v>
      </c>
      <c r="C142" s="4">
        <f t="shared" si="8"/>
        <v>6.295646370633845E-3</v>
      </c>
      <c r="D142" s="4">
        <f t="shared" si="9"/>
        <v>5.7382923568576327E-2</v>
      </c>
      <c r="E142" s="3">
        <v>1116.27</v>
      </c>
      <c r="F142" s="4">
        <f t="shared" si="10"/>
        <v>8.9584863740554965E-6</v>
      </c>
      <c r="G142" s="4">
        <f t="shared" si="11"/>
        <v>0.11626999999999987</v>
      </c>
      <c r="H142" s="5">
        <f>Summary!$E$12*(1+G142)</f>
        <v>5358095.9999999991</v>
      </c>
      <c r="I142" s="5">
        <f>Summary!$E$12*(1+D142)</f>
        <v>5075438.0331291668</v>
      </c>
    </row>
    <row r="143" spans="1:9" ht="15" customHeight="1" x14ac:dyDescent="0.25">
      <c r="A143" s="6" t="s">
        <v>150</v>
      </c>
      <c r="B143" s="7">
        <v>24097.71</v>
      </c>
      <c r="C143" s="8">
        <f t="shared" si="8"/>
        <v>3.8721486905097802E-3</v>
      </c>
      <c r="D143" s="8">
        <f t="shared" si="9"/>
        <v>6.1477267471439889E-2</v>
      </c>
      <c r="E143" s="7">
        <v>1116.51</v>
      </c>
      <c r="F143" s="8">
        <f t="shared" si="10"/>
        <v>2.1500174688915408E-4</v>
      </c>
      <c r="G143" s="8">
        <f t="shared" si="11"/>
        <v>0.11650999999999989</v>
      </c>
      <c r="H143" s="9">
        <f>Summary!$E$12*(1+G143)</f>
        <v>5359247.9999999991</v>
      </c>
      <c r="I143" s="9">
        <f>Summary!$E$12*(1+D143)</f>
        <v>5095090.8838629117</v>
      </c>
    </row>
    <row r="144" spans="1:9" ht="15" customHeight="1" x14ac:dyDescent="0.25">
      <c r="A144" s="2" t="s">
        <v>151</v>
      </c>
      <c r="B144" s="3">
        <v>24053.86</v>
      </c>
      <c r="C144" s="4">
        <f t="shared" si="8"/>
        <v>-1.8196749815645452E-3</v>
      </c>
      <c r="D144" s="4">
        <f t="shared" si="9"/>
        <v>5.954572384432244E-2</v>
      </c>
      <c r="E144" s="3">
        <v>1116.49</v>
      </c>
      <c r="F144" s="4">
        <f t="shared" si="10"/>
        <v>-1.7912960922905619E-5</v>
      </c>
      <c r="G144" s="4">
        <f t="shared" si="11"/>
        <v>0.11648999999999998</v>
      </c>
      <c r="H144" s="5">
        <f>Summary!$E$12*(1+G144)</f>
        <v>5359152</v>
      </c>
      <c r="I144" s="5">
        <f>Summary!$E$12*(1+D144)</f>
        <v>5085819.474452748</v>
      </c>
    </row>
    <row r="145" spans="1:9" ht="15" customHeight="1" x14ac:dyDescent="0.25">
      <c r="A145" s="6" t="s">
        <v>152</v>
      </c>
      <c r="B145" s="7">
        <v>24310.89</v>
      </c>
      <c r="C145" s="8">
        <f t="shared" si="8"/>
        <v>1.0685603059134685E-2</v>
      </c>
      <c r="D145" s="8">
        <f t="shared" si="9"/>
        <v>7.0867608872326571E-2</v>
      </c>
      <c r="E145" s="7">
        <v>1119.29</v>
      </c>
      <c r="F145" s="8">
        <f t="shared" si="10"/>
        <v>2.5078594523908482E-3</v>
      </c>
      <c r="G145" s="8">
        <f t="shared" si="11"/>
        <v>0.1192899999999999</v>
      </c>
      <c r="H145" s="9">
        <f>Summary!$E$12*(1+G145)</f>
        <v>5372591.9999999991</v>
      </c>
      <c r="I145" s="9">
        <f>Summary!$E$12*(1+D145)</f>
        <v>5140164.5225871671</v>
      </c>
    </row>
    <row r="146" spans="1:9" ht="15" customHeight="1" x14ac:dyDescent="0.25">
      <c r="A146" s="2" t="s">
        <v>153</v>
      </c>
      <c r="B146" s="3">
        <v>24359.43</v>
      </c>
      <c r="C146" s="4">
        <f t="shared" si="8"/>
        <v>1.9966360754377632E-3</v>
      </c>
      <c r="D146" s="4">
        <f t="shared" si="9"/>
        <v>7.3005741772218746E-2</v>
      </c>
      <c r="E146" s="3">
        <v>1121.28</v>
      </c>
      <c r="F146" s="4">
        <f t="shared" si="10"/>
        <v>1.7779127839969711E-3</v>
      </c>
      <c r="G146" s="4">
        <f t="shared" si="11"/>
        <v>0.12128000000000005</v>
      </c>
      <c r="H146" s="5">
        <f>Summary!$E$12*(1+G146)</f>
        <v>5382144</v>
      </c>
      <c r="I146" s="5">
        <f>Summary!$E$12*(1+D146)</f>
        <v>5150427.5605066502</v>
      </c>
    </row>
    <row r="147" spans="1:9" ht="15" customHeight="1" x14ac:dyDescent="0.25">
      <c r="A147" s="6" t="s">
        <v>154</v>
      </c>
      <c r="B147" s="7">
        <v>24323.37</v>
      </c>
      <c r="C147" s="8">
        <f t="shared" si="8"/>
        <v>-1.4803302047708966E-3</v>
      </c>
      <c r="D147" s="8">
        <f t="shared" si="9"/>
        <v>7.1417338962780796E-2</v>
      </c>
      <c r="E147" s="7">
        <v>1120.52</v>
      </c>
      <c r="F147" s="8">
        <f t="shared" si="10"/>
        <v>-6.7779680365298578E-4</v>
      </c>
      <c r="G147" s="8">
        <f t="shared" si="11"/>
        <v>0.12051999999999996</v>
      </c>
      <c r="H147" s="9">
        <f>Summary!$E$12*(1+G147)</f>
        <v>5378496</v>
      </c>
      <c r="I147" s="9">
        <f>Summary!$E$12*(1+D147)</f>
        <v>5142803.2270213477</v>
      </c>
    </row>
    <row r="148" spans="1:9" ht="15" customHeight="1" x14ac:dyDescent="0.25">
      <c r="A148" s="2" t="s">
        <v>155</v>
      </c>
      <c r="B148" s="3">
        <v>24410</v>
      </c>
      <c r="C148" s="4">
        <f t="shared" si="8"/>
        <v>3.5615952888108371E-3</v>
      </c>
      <c r="D148" s="4">
        <f t="shared" si="9"/>
        <v>7.5233293909580778E-2</v>
      </c>
      <c r="E148" s="3">
        <v>1122.3399999999999</v>
      </c>
      <c r="F148" s="4">
        <f t="shared" si="10"/>
        <v>1.6242458858386488E-3</v>
      </c>
      <c r="G148" s="4">
        <f t="shared" si="11"/>
        <v>0.12233999999999989</v>
      </c>
      <c r="H148" s="5">
        <f>Summary!$E$12*(1+G148)</f>
        <v>5387231.9999999991</v>
      </c>
      <c r="I148" s="5">
        <f>Summary!$E$12*(1+D148)</f>
        <v>5161119.8107659882</v>
      </c>
    </row>
    <row r="149" spans="1:9" ht="15" customHeight="1" x14ac:dyDescent="0.25">
      <c r="A149" s="6" t="s">
        <v>156</v>
      </c>
      <c r="B149" s="7">
        <v>24252.26</v>
      </c>
      <c r="C149" s="8">
        <f t="shared" si="8"/>
        <v>-6.4621056943876543E-3</v>
      </c>
      <c r="D149" s="8">
        <f t="shared" si="9"/>
        <v>6.8285022718212574E-2</v>
      </c>
      <c r="E149" s="7">
        <v>1121.6099999999999</v>
      </c>
      <c r="F149" s="8">
        <f t="shared" si="10"/>
        <v>-6.5042678689164468E-4</v>
      </c>
      <c r="G149" s="8">
        <f t="shared" si="11"/>
        <v>0.12161</v>
      </c>
      <c r="H149" s="9">
        <f>Summary!$E$12*(1+G149)</f>
        <v>5383728</v>
      </c>
      <c r="I149" s="9">
        <f>Summary!$E$12*(1+D149)</f>
        <v>5127768.1090474203</v>
      </c>
    </row>
    <row r="150" spans="1:9" ht="15" customHeight="1" x14ac:dyDescent="0.25">
      <c r="A150" s="2" t="s">
        <v>157</v>
      </c>
      <c r="B150" s="3">
        <v>24275.7</v>
      </c>
      <c r="C150" s="4">
        <f t="shared" si="8"/>
        <v>9.6650786359719909E-4</v>
      </c>
      <c r="D150" s="4">
        <f t="shared" si="9"/>
        <v>6.9317528593232813E-2</v>
      </c>
      <c r="E150" s="3">
        <v>1121.97</v>
      </c>
      <c r="F150" s="4">
        <f t="shared" si="10"/>
        <v>3.2096718110574685E-4</v>
      </c>
      <c r="G150" s="4">
        <f t="shared" si="11"/>
        <v>0.12197000000000013</v>
      </c>
      <c r="H150" s="5">
        <f>Summary!$E$12*(1+G150)</f>
        <v>5385456.0000000009</v>
      </c>
      <c r="I150" s="5">
        <f>Summary!$E$12*(1+D150)</f>
        <v>5132724.1372475177</v>
      </c>
    </row>
    <row r="151" spans="1:9" ht="15" customHeight="1" x14ac:dyDescent="0.25">
      <c r="A151" s="6" t="s">
        <v>158</v>
      </c>
      <c r="B151" s="7">
        <v>24114.17</v>
      </c>
      <c r="C151" s="8">
        <f t="shared" si="8"/>
        <v>-6.6539790819627465E-3</v>
      </c>
      <c r="D151" s="8">
        <f t="shared" si="9"/>
        <v>6.2202312125997361E-2</v>
      </c>
      <c r="E151" s="7">
        <v>1121.6099999999999</v>
      </c>
      <c r="F151" s="8">
        <f t="shared" si="10"/>
        <v>-3.2086419422994172E-4</v>
      </c>
      <c r="G151" s="8">
        <f t="shared" si="11"/>
        <v>0.12161</v>
      </c>
      <c r="H151" s="9">
        <f>Summary!$E$12*(1+G151)</f>
        <v>5383728</v>
      </c>
      <c r="I151" s="9">
        <f>Summary!$E$12*(1+D151)</f>
        <v>5098571.0982047869</v>
      </c>
    </row>
    <row r="152" spans="1:9" ht="15" customHeight="1" x14ac:dyDescent="0.25">
      <c r="A152" s="2" t="s">
        <v>159</v>
      </c>
      <c r="B152" s="3">
        <v>24208.73</v>
      </c>
      <c r="C152" s="4">
        <f t="shared" si="8"/>
        <v>3.9213458311027072E-3</v>
      </c>
      <c r="D152" s="4">
        <f t="shared" si="9"/>
        <v>6.6367574734440327E-2</v>
      </c>
      <c r="E152" s="3">
        <v>1123.28</v>
      </c>
      <c r="F152" s="4">
        <f t="shared" si="10"/>
        <v>1.4889310901293751E-3</v>
      </c>
      <c r="G152" s="4">
        <f t="shared" si="11"/>
        <v>0.12328000000000006</v>
      </c>
      <c r="H152" s="5">
        <f>Summary!$E$12*(1+G152)</f>
        <v>5391744</v>
      </c>
      <c r="I152" s="5">
        <f>Summary!$E$12*(1+D152)</f>
        <v>5118564.358725314</v>
      </c>
    </row>
    <row r="153" spans="1:9" ht="15" customHeight="1" x14ac:dyDescent="0.25">
      <c r="A153" s="6" t="s">
        <v>160</v>
      </c>
      <c r="B153" s="7">
        <v>24312.27</v>
      </c>
      <c r="C153" s="8">
        <f t="shared" si="8"/>
        <v>4.2769695064548419E-3</v>
      </c>
      <c r="D153" s="8">
        <f t="shared" si="9"/>
        <v>7.0928396334251742E-2</v>
      </c>
      <c r="E153" s="7">
        <v>1123.6600000000001</v>
      </c>
      <c r="F153" s="8">
        <f t="shared" si="10"/>
        <v>3.3829499323423384E-4</v>
      </c>
      <c r="G153" s="8">
        <f t="shared" si="11"/>
        <v>0.1236600000000001</v>
      </c>
      <c r="H153" s="9">
        <f>Summary!$E$12*(1+G153)</f>
        <v>5393568.0000000009</v>
      </c>
      <c r="I153" s="9">
        <f>Summary!$E$12*(1+D153)</f>
        <v>5140456.3024044083</v>
      </c>
    </row>
    <row r="154" spans="1:9" ht="15" customHeight="1" x14ac:dyDescent="0.25">
      <c r="A154" s="2" t="s">
        <v>161</v>
      </c>
      <c r="B154" s="3">
        <v>24304.15</v>
      </c>
      <c r="C154" s="4">
        <f t="shared" si="8"/>
        <v>-3.3398773541093441E-4</v>
      </c>
      <c r="D154" s="4">
        <f t="shared" si="9"/>
        <v>7.0570719384372982E-2</v>
      </c>
      <c r="E154" s="3">
        <v>1124.96</v>
      </c>
      <c r="F154" s="4">
        <f t="shared" si="10"/>
        <v>1.1569335920118551E-3</v>
      </c>
      <c r="G154" s="4">
        <f t="shared" si="11"/>
        <v>0.12495999999999996</v>
      </c>
      <c r="H154" s="5">
        <f>Summary!$E$12*(1+G154)</f>
        <v>5399808</v>
      </c>
      <c r="I154" s="5">
        <f>Summary!$E$12*(1+D154)</f>
        <v>5138739.4530449901</v>
      </c>
    </row>
    <row r="155" spans="1:9" ht="15" customHeight="1" x14ac:dyDescent="0.25">
      <c r="A155" s="6" t="s">
        <v>162</v>
      </c>
      <c r="B155" s="7">
        <v>24300</v>
      </c>
      <c r="C155" s="8">
        <f t="shared" si="8"/>
        <v>-1.7075273152944437E-4</v>
      </c>
      <c r="D155" s="8">
        <f t="shared" si="9"/>
        <v>7.0387916509742521E-2</v>
      </c>
      <c r="E155" s="7">
        <v>1123.98</v>
      </c>
      <c r="F155" s="8">
        <f t="shared" si="10"/>
        <v>-8.7114208505190138E-4</v>
      </c>
      <c r="G155" s="8">
        <f t="shared" si="11"/>
        <v>0.12397999999999998</v>
      </c>
      <c r="H155" s="9">
        <f>Summary!$E$12*(1+G155)</f>
        <v>5395104</v>
      </c>
      <c r="I155" s="9">
        <f>Summary!$E$12*(1+D155)</f>
        <v>5137861.999246764</v>
      </c>
    </row>
    <row r="156" spans="1:9" ht="15" customHeight="1" x14ac:dyDescent="0.25">
      <c r="A156" s="2" t="s">
        <v>163</v>
      </c>
      <c r="B156" s="3">
        <v>24410.99</v>
      </c>
      <c r="C156" s="4">
        <f t="shared" si="8"/>
        <v>4.567489711934325E-3</v>
      </c>
      <c r="D156" s="4">
        <f t="shared" si="9"/>
        <v>7.527690230617945E-2</v>
      </c>
      <c r="E156" s="3">
        <v>1125.3599999999999</v>
      </c>
      <c r="F156" s="4">
        <f t="shared" si="10"/>
        <v>1.2277798537339013E-3</v>
      </c>
      <c r="G156" s="4">
        <f t="shared" si="11"/>
        <v>0.12535999999999992</v>
      </c>
      <c r="H156" s="5">
        <f>Summary!$E$12*(1+G156)</f>
        <v>5401728</v>
      </c>
      <c r="I156" s="5">
        <f>Summary!$E$12*(1+D156)</f>
        <v>5161329.1310696611</v>
      </c>
    </row>
    <row r="157" spans="1:9" ht="15" customHeight="1" x14ac:dyDescent="0.25">
      <c r="A157" s="6" t="s">
        <v>164</v>
      </c>
      <c r="B157" s="7">
        <v>24253.39</v>
      </c>
      <c r="C157" s="8">
        <f t="shared" si="8"/>
        <v>-6.4561084986721751E-3</v>
      </c>
      <c r="D157" s="8">
        <f t="shared" si="9"/>
        <v>6.8334797958774729E-2</v>
      </c>
      <c r="E157" s="7">
        <v>1124.2</v>
      </c>
      <c r="F157" s="8">
        <f t="shared" si="10"/>
        <v>-1.0307812611074496E-3</v>
      </c>
      <c r="G157" s="8">
        <f t="shared" si="11"/>
        <v>0.12420000000000009</v>
      </c>
      <c r="H157" s="9">
        <f>Summary!$E$12*(1+G157)</f>
        <v>5396160</v>
      </c>
      <c r="I157" s="9">
        <f>Summary!$E$12*(1+D157)</f>
        <v>5128007.0302021187</v>
      </c>
    </row>
    <row r="158" spans="1:9" ht="15" customHeight="1" x14ac:dyDescent="0.25">
      <c r="A158" s="2" t="s">
        <v>165</v>
      </c>
      <c r="B158" s="3">
        <v>24283.040000000001</v>
      </c>
      <c r="C158" s="4">
        <f t="shared" si="8"/>
        <v>1.2225095131030983E-3</v>
      </c>
      <c r="D158" s="4">
        <f t="shared" si="9"/>
        <v>6.9640847412458351E-2</v>
      </c>
      <c r="E158" s="3">
        <v>1125.2</v>
      </c>
      <c r="F158" s="4">
        <f t="shared" si="10"/>
        <v>8.8952143746667822E-4</v>
      </c>
      <c r="G158" s="4">
        <f t="shared" si="11"/>
        <v>0.12519999999999998</v>
      </c>
      <c r="H158" s="5">
        <f>Summary!$E$12*(1+G158)</f>
        <v>5400960</v>
      </c>
      <c r="I158" s="5">
        <f>Summary!$E$12*(1+D158)</f>
        <v>5134276.0675798003</v>
      </c>
    </row>
    <row r="159" spans="1:9" ht="15" customHeight="1" x14ac:dyDescent="0.25">
      <c r="A159" s="6" t="s">
        <v>166</v>
      </c>
      <c r="B159" s="7">
        <v>24212.94</v>
      </c>
      <c r="C159" s="8">
        <f t="shared" si="8"/>
        <v>-2.8867884745897854E-3</v>
      </c>
      <c r="D159" s="8">
        <f t="shared" si="9"/>
        <v>6.6553020542197805E-2</v>
      </c>
      <c r="E159" s="7">
        <v>1124.0999999999999</v>
      </c>
      <c r="F159" s="8">
        <f t="shared" si="10"/>
        <v>-9.7760398151447436E-4</v>
      </c>
      <c r="G159" s="8">
        <f t="shared" si="11"/>
        <v>0.12409999999999988</v>
      </c>
      <c r="H159" s="9">
        <f>Summary!$E$12*(1+G159)</f>
        <v>5395679.9999999991</v>
      </c>
      <c r="I159" s="9">
        <f>Summary!$E$12*(1+D159)</f>
        <v>5119454.4986025495</v>
      </c>
    </row>
    <row r="160" spans="1:9" ht="15" customHeight="1" x14ac:dyDescent="0.25">
      <c r="A160" s="2" t="s">
        <v>167</v>
      </c>
      <c r="B160" s="3">
        <v>23989.31</v>
      </c>
      <c r="C160" s="4">
        <f t="shared" si="8"/>
        <v>-9.2359705182434304E-3</v>
      </c>
      <c r="D160" s="4">
        <f t="shared" si="9"/>
        <v>5.6702368288326532E-2</v>
      </c>
      <c r="E160" s="3">
        <v>1122.28</v>
      </c>
      <c r="F160" s="4">
        <f t="shared" si="10"/>
        <v>-1.6190730362066752E-3</v>
      </c>
      <c r="G160" s="4">
        <f t="shared" si="11"/>
        <v>0.12227999999999994</v>
      </c>
      <c r="H160" s="5">
        <f>Summary!$E$12*(1+G160)</f>
        <v>5386944</v>
      </c>
      <c r="I160" s="5">
        <f>Summary!$E$12*(1+D160)</f>
        <v>5072171.3677839674</v>
      </c>
    </row>
    <row r="161" spans="1:9" ht="15" customHeight="1" x14ac:dyDescent="0.25">
      <c r="A161" s="6" t="s">
        <v>168</v>
      </c>
      <c r="B161" s="7">
        <v>24040.86</v>
      </c>
      <c r="C161" s="8">
        <f t="shared" si="8"/>
        <v>2.1488738108765837E-3</v>
      </c>
      <c r="D161" s="8">
        <f t="shared" si="9"/>
        <v>5.8973088333432511E-2</v>
      </c>
      <c r="E161" s="7">
        <v>1122.9100000000001</v>
      </c>
      <c r="F161" s="8">
        <f t="shared" si="10"/>
        <v>5.6135723705330598E-4</v>
      </c>
      <c r="G161" s="8">
        <f t="shared" si="11"/>
        <v>0.12291000000000007</v>
      </c>
      <c r="H161" s="9">
        <f>Summary!$E$12*(1+G161)</f>
        <v>5389968</v>
      </c>
      <c r="I161" s="9">
        <f>Summary!$E$12*(1+D161)</f>
        <v>5083070.8240004759</v>
      </c>
    </row>
    <row r="162" spans="1:9" ht="15" customHeight="1" x14ac:dyDescent="0.25">
      <c r="A162" s="2" t="s">
        <v>169</v>
      </c>
      <c r="B162" s="3">
        <v>24243.93</v>
      </c>
      <c r="C162" s="4">
        <f t="shared" si="8"/>
        <v>8.4468692051782313E-3</v>
      </c>
      <c r="D162" s="4">
        <f t="shared" si="9"/>
        <v>6.7918095502388587E-2</v>
      </c>
      <c r="E162" s="3">
        <v>1126.1099999999999</v>
      </c>
      <c r="F162" s="4">
        <f t="shared" si="10"/>
        <v>2.8497386255352808E-3</v>
      </c>
      <c r="G162" s="4">
        <f t="shared" si="11"/>
        <v>0.12610999999999994</v>
      </c>
      <c r="H162" s="5">
        <f>Summary!$E$12*(1+G162)</f>
        <v>5405328</v>
      </c>
      <c r="I162" s="5">
        <f>Summary!$E$12*(1+D162)</f>
        <v>5126006.8584114648</v>
      </c>
    </row>
    <row r="163" spans="1:9" ht="15" customHeight="1" x14ac:dyDescent="0.25">
      <c r="A163" s="6" t="s">
        <v>170</v>
      </c>
      <c r="B163" s="7">
        <v>24661.25</v>
      </c>
      <c r="C163" s="8">
        <f t="shared" si="8"/>
        <v>1.7213380833883019E-2</v>
      </c>
      <c r="D163" s="8">
        <f t="shared" si="9"/>
        <v>8.6300576379666261E-2</v>
      </c>
      <c r="E163" s="7">
        <v>1129.47</v>
      </c>
      <c r="F163" s="8">
        <f t="shared" si="10"/>
        <v>2.98372272690961E-3</v>
      </c>
      <c r="G163" s="8">
        <f t="shared" si="11"/>
        <v>0.12946999999999997</v>
      </c>
      <c r="H163" s="9">
        <f>Summary!$E$12*(1+G163)</f>
        <v>5421456</v>
      </c>
      <c r="I163" s="9">
        <f>Summary!$E$12*(1+D163)</f>
        <v>5214242.766622398</v>
      </c>
    </row>
    <row r="164" spans="1:9" ht="15" customHeight="1" x14ac:dyDescent="0.25">
      <c r="A164" s="2" t="s">
        <v>171</v>
      </c>
      <c r="B164" s="3">
        <v>24623.16</v>
      </c>
      <c r="C164" s="4">
        <f t="shared" si="8"/>
        <v>-1.5445283592681047E-3</v>
      </c>
      <c r="D164" s="4">
        <f t="shared" si="9"/>
        <v>8.4622754332758454E-2</v>
      </c>
      <c r="E164" s="3">
        <v>1129.49</v>
      </c>
      <c r="F164" s="4">
        <f t="shared" si="10"/>
        <v>1.7707420294499343E-5</v>
      </c>
      <c r="G164" s="4">
        <f t="shared" si="11"/>
        <v>0.12949000000000011</v>
      </c>
      <c r="H164" s="5">
        <f>Summary!$E$12*(1+G164)</f>
        <v>5421552.0000000009</v>
      </c>
      <c r="I164" s="5">
        <f>Summary!$E$12*(1+D164)</f>
        <v>5206189.2207972407</v>
      </c>
    </row>
    <row r="165" spans="1:9" ht="15" customHeight="1" x14ac:dyDescent="0.25">
      <c r="A165" s="6" t="s">
        <v>172</v>
      </c>
      <c r="B165" s="7">
        <v>24644.400000000001</v>
      </c>
      <c r="C165" s="8">
        <f t="shared" si="8"/>
        <v>8.6260252542724736E-4</v>
      </c>
      <c r="D165" s="8">
        <f t="shared" si="9"/>
        <v>8.5558352659781844E-2</v>
      </c>
      <c r="E165" s="7">
        <v>1129.71</v>
      </c>
      <c r="F165" s="8">
        <f t="shared" si="10"/>
        <v>1.9477817422020038E-4</v>
      </c>
      <c r="G165" s="8">
        <f t="shared" si="11"/>
        <v>0.12970999999999999</v>
      </c>
      <c r="H165" s="9">
        <f>Summary!$E$12*(1+G165)</f>
        <v>5422608</v>
      </c>
      <c r="I165" s="9">
        <f>Summary!$E$12*(1+D165)</f>
        <v>5210680.0927669527</v>
      </c>
    </row>
    <row r="166" spans="1:9" ht="15" customHeight="1" x14ac:dyDescent="0.25">
      <c r="A166" s="2" t="s">
        <v>173</v>
      </c>
      <c r="B166" s="3">
        <v>24854.17</v>
      </c>
      <c r="C166" s="4">
        <f t="shared" si="8"/>
        <v>8.5118728798427856E-3</v>
      </c>
      <c r="D166" s="4">
        <f t="shared" si="9"/>
        <v>9.4798487361273498E-2</v>
      </c>
      <c r="E166" s="3">
        <v>1130.6099999999999</v>
      </c>
      <c r="F166" s="4">
        <f t="shared" si="10"/>
        <v>7.9666463074579141E-4</v>
      </c>
      <c r="G166" s="4">
        <f t="shared" si="11"/>
        <v>0.13060999999999989</v>
      </c>
      <c r="H166" s="5">
        <f>Summary!$E$12*(1+G166)</f>
        <v>5426927.9999999991</v>
      </c>
      <c r="I166" s="5">
        <f>Summary!$E$12*(1+D166)</f>
        <v>5255032.739334113</v>
      </c>
    </row>
    <row r="167" spans="1:9" ht="15" customHeight="1" x14ac:dyDescent="0.25">
      <c r="A167" s="6" t="s">
        <v>174</v>
      </c>
      <c r="B167" s="7">
        <v>24640.69</v>
      </c>
      <c r="C167" s="8">
        <f t="shared" si="8"/>
        <v>-8.589303122976899E-3</v>
      </c>
      <c r="D167" s="8">
        <f t="shared" si="9"/>
        <v>8.5394931294750842E-2</v>
      </c>
      <c r="E167" s="7">
        <v>1131.68</v>
      </c>
      <c r="F167" s="8">
        <f t="shared" si="10"/>
        <v>9.4639177081412562E-4</v>
      </c>
      <c r="G167" s="8">
        <f t="shared" si="11"/>
        <v>0.13168000000000002</v>
      </c>
      <c r="H167" s="9">
        <f>Summary!$E$12*(1+G167)</f>
        <v>5432064</v>
      </c>
      <c r="I167" s="9">
        <f>Summary!$E$12*(1+D167)</f>
        <v>5209895.6702148039</v>
      </c>
    </row>
    <row r="168" spans="1:9" ht="15" customHeight="1" x14ac:dyDescent="0.25">
      <c r="A168" s="2" t="s">
        <v>175</v>
      </c>
      <c r="B168" s="3">
        <v>24820.84</v>
      </c>
      <c r="C168" s="4">
        <f t="shared" si="8"/>
        <v>7.3110777336187205E-3</v>
      </c>
      <c r="D168" s="4">
        <f t="shared" si="9"/>
        <v>9.3330338009122604E-2</v>
      </c>
      <c r="E168" s="3">
        <v>1133.56</v>
      </c>
      <c r="F168" s="4">
        <f t="shared" si="10"/>
        <v>1.6612469956169829E-3</v>
      </c>
      <c r="G168" s="4">
        <f t="shared" si="11"/>
        <v>0.1335599999999999</v>
      </c>
      <c r="H168" s="5">
        <f>Summary!$E$12*(1+G168)</f>
        <v>5441087.9999999991</v>
      </c>
      <c r="I168" s="5">
        <f>Summary!$E$12*(1+D168)</f>
        <v>5247985.6224437887</v>
      </c>
    </row>
    <row r="169" spans="1:9" ht="15" customHeight="1" x14ac:dyDescent="0.25">
      <c r="A169" s="6" t="s">
        <v>176</v>
      </c>
      <c r="B169" s="7">
        <v>24514.6</v>
      </c>
      <c r="C169" s="8">
        <f t="shared" si="8"/>
        <v>-1.2338019180656357E-2</v>
      </c>
      <c r="D169" s="8">
        <f t="shared" si="9"/>
        <v>7.9840807327972607E-2</v>
      </c>
      <c r="E169" s="7">
        <v>1129.54</v>
      </c>
      <c r="F169" s="8">
        <f t="shared" si="10"/>
        <v>-3.5463495536186551E-3</v>
      </c>
      <c r="G169" s="8">
        <f t="shared" si="11"/>
        <v>0.12953999999999999</v>
      </c>
      <c r="H169" s="9">
        <f>Summary!$E$12*(1+G169)</f>
        <v>5421792</v>
      </c>
      <c r="I169" s="9">
        <f>Summary!$E$12*(1+D169)</f>
        <v>5183235.8751742681</v>
      </c>
    </row>
    <row r="170" spans="1:9" ht="15" customHeight="1" x14ac:dyDescent="0.25">
      <c r="A170" s="2" t="s">
        <v>177</v>
      </c>
      <c r="B170" s="3">
        <v>24288.07</v>
      </c>
      <c r="C170" s="4">
        <f t="shared" si="8"/>
        <v>-9.2406157963009772E-3</v>
      </c>
      <c r="D170" s="4">
        <f t="shared" si="9"/>
        <v>6.9862413306287285E-2</v>
      </c>
      <c r="E170" s="3">
        <v>1129.18</v>
      </c>
      <c r="F170" s="4">
        <f t="shared" si="10"/>
        <v>-3.1871381270243138E-4</v>
      </c>
      <c r="G170" s="4">
        <f t="shared" si="11"/>
        <v>0.12918000000000007</v>
      </c>
      <c r="H170" s="5">
        <f>Summary!$E$12*(1+G170)</f>
        <v>5420064</v>
      </c>
      <c r="I170" s="5">
        <f>Summary!$E$12*(1+D170)</f>
        <v>5135339.583870179</v>
      </c>
    </row>
    <row r="171" spans="1:9" ht="15" customHeight="1" x14ac:dyDescent="0.25">
      <c r="A171" s="6" t="s">
        <v>178</v>
      </c>
      <c r="B171" s="7">
        <v>24203.01</v>
      </c>
      <c r="C171" s="8">
        <f t="shared" si="8"/>
        <v>-3.5021308815398333E-3</v>
      </c>
      <c r="D171" s="8">
        <f t="shared" si="9"/>
        <v>6.6115615109648695E-2</v>
      </c>
      <c r="E171" s="7">
        <v>1127.5899999999999</v>
      </c>
      <c r="F171" s="8">
        <f t="shared" si="10"/>
        <v>-1.4081014541527104E-3</v>
      </c>
      <c r="G171" s="8">
        <f t="shared" si="11"/>
        <v>0.12758999999999987</v>
      </c>
      <c r="H171" s="9">
        <f>Summary!$E$12*(1+G171)</f>
        <v>5412431.9999999991</v>
      </c>
      <c r="I171" s="9">
        <f>Summary!$E$12*(1+D171)</f>
        <v>5117354.9525263142</v>
      </c>
    </row>
    <row r="172" spans="1:9" ht="15" customHeight="1" x14ac:dyDescent="0.25">
      <c r="A172" s="2" t="s">
        <v>179</v>
      </c>
      <c r="B172" s="3">
        <v>24094.37</v>
      </c>
      <c r="C172" s="4">
        <f t="shared" si="8"/>
        <v>-4.4886978933611488E-3</v>
      </c>
      <c r="D172" s="4">
        <f t="shared" si="9"/>
        <v>6.1330144194026603E-2</v>
      </c>
      <c r="E172" s="3">
        <v>1127.25</v>
      </c>
      <c r="F172" s="4">
        <f t="shared" si="10"/>
        <v>-3.0152803767324876E-4</v>
      </c>
      <c r="G172" s="4">
        <f t="shared" si="11"/>
        <v>0.12725000000000009</v>
      </c>
      <c r="H172" s="5">
        <f>Summary!$E$12*(1+G172)</f>
        <v>5410800</v>
      </c>
      <c r="I172" s="5">
        <f>Summary!$E$12*(1+D172)</f>
        <v>5094384.6921313275</v>
      </c>
    </row>
    <row r="173" spans="1:9" ht="15" customHeight="1" x14ac:dyDescent="0.25">
      <c r="A173" s="6" t="s">
        <v>180</v>
      </c>
      <c r="B173" s="7">
        <v>24188.02</v>
      </c>
      <c r="C173" s="8">
        <f t="shared" si="8"/>
        <v>3.8868001113954165E-3</v>
      </c>
      <c r="D173" s="8">
        <f t="shared" si="9"/>
        <v>6.5455322316707143E-2</v>
      </c>
      <c r="E173" s="7">
        <v>1129.29</v>
      </c>
      <c r="F173" s="8">
        <f t="shared" si="10"/>
        <v>1.8097139055222033E-3</v>
      </c>
      <c r="G173" s="8">
        <f t="shared" si="11"/>
        <v>0.12928999999999991</v>
      </c>
      <c r="H173" s="9">
        <f>Summary!$E$12*(1+G173)</f>
        <v>5420592</v>
      </c>
      <c r="I173" s="9">
        <f>Summary!$E$12*(1+D173)</f>
        <v>5114185.547120194</v>
      </c>
    </row>
    <row r="174" spans="1:9" ht="15" customHeight="1" x14ac:dyDescent="0.25">
      <c r="A174" s="2" t="s">
        <v>181</v>
      </c>
      <c r="B174" s="3">
        <v>23977.53</v>
      </c>
      <c r="C174" s="4">
        <f t="shared" si="8"/>
        <v>-8.7022418536119028E-3</v>
      </c>
      <c r="D174" s="4">
        <f t="shared" si="9"/>
        <v>5.6183472417689062E-2</v>
      </c>
      <c r="E174" s="3">
        <v>1126.96</v>
      </c>
      <c r="F174" s="4">
        <f t="shared" si="10"/>
        <v>-2.063243276749005E-3</v>
      </c>
      <c r="G174" s="4">
        <f t="shared" si="11"/>
        <v>0.12695999999999996</v>
      </c>
      <c r="H174" s="5">
        <f>Summary!$E$12*(1+G174)</f>
        <v>5409408</v>
      </c>
      <c r="I174" s="5">
        <f>Summary!$E$12*(1+D174)</f>
        <v>5069680.6676049074</v>
      </c>
    </row>
    <row r="175" spans="1:9" ht="15" customHeight="1" x14ac:dyDescent="0.25">
      <c r="A175" s="6" t="s">
        <v>182</v>
      </c>
      <c r="B175" s="7">
        <v>23908.02</v>
      </c>
      <c r="C175" s="8">
        <f t="shared" si="8"/>
        <v>-2.8989641551901979E-3</v>
      </c>
      <c r="D175" s="8">
        <f t="shared" si="9"/>
        <v>5.3121634389845962E-2</v>
      </c>
      <c r="E175" s="7">
        <v>1126.1600000000001</v>
      </c>
      <c r="F175" s="8">
        <f t="shared" si="10"/>
        <v>-7.0987435223957007E-4</v>
      </c>
      <c r="G175" s="8">
        <f t="shared" si="11"/>
        <v>0.12616000000000005</v>
      </c>
      <c r="H175" s="9">
        <f>Summary!$E$12*(1+G175)</f>
        <v>5405568</v>
      </c>
      <c r="I175" s="9">
        <f>Summary!$E$12*(1+D175)</f>
        <v>5054983.8450712608</v>
      </c>
    </row>
    <row r="176" spans="1:9" ht="15" customHeight="1" x14ac:dyDescent="0.25">
      <c r="A176" s="2" t="s">
        <v>183</v>
      </c>
      <c r="B176" s="3">
        <v>23805.85</v>
      </c>
      <c r="C176" s="4">
        <f t="shared" si="8"/>
        <v>-4.273461374049492E-3</v>
      </c>
      <c r="D176" s="4">
        <f t="shared" si="9"/>
        <v>4.8621159763104993E-2</v>
      </c>
      <c r="E176" s="3">
        <v>1124.95</v>
      </c>
      <c r="F176" s="4">
        <f t="shared" si="10"/>
        <v>-1.0744476806138215E-3</v>
      </c>
      <c r="G176" s="4">
        <f t="shared" si="11"/>
        <v>0.12495000000000012</v>
      </c>
      <c r="H176" s="5">
        <f>Summary!$E$12*(1+G176)</f>
        <v>5399760.0000000009</v>
      </c>
      <c r="I176" s="5">
        <f>Summary!$E$12*(1+D176)</f>
        <v>5033381.5668629035</v>
      </c>
    </row>
    <row r="177" spans="1:9" ht="15" customHeight="1" x14ac:dyDescent="0.25">
      <c r="A177" s="6" t="s">
        <v>184</v>
      </c>
      <c r="B177" s="7">
        <v>23500</v>
      </c>
      <c r="C177" s="8">
        <f t="shared" si="8"/>
        <v>-1.2847682397393867E-2</v>
      </c>
      <c r="D177" s="8">
        <f t="shared" si="9"/>
        <v>3.514880814728194E-2</v>
      </c>
      <c r="E177" s="7">
        <v>1122.22</v>
      </c>
      <c r="F177" s="8">
        <f t="shared" si="10"/>
        <v>-2.4267745233121918E-3</v>
      </c>
      <c r="G177" s="8">
        <f t="shared" si="11"/>
        <v>0.12222</v>
      </c>
      <c r="H177" s="9">
        <f>Summary!$E$12*(1+G177)</f>
        <v>5386656</v>
      </c>
      <c r="I177" s="9">
        <f>Summary!$E$12*(1+D177)</f>
        <v>4968714.2791069532</v>
      </c>
    </row>
    <row r="178" spans="1:9" ht="15" customHeight="1" x14ac:dyDescent="0.25">
      <c r="A178" s="2" t="s">
        <v>185</v>
      </c>
      <c r="B178" s="3">
        <v>23558.32</v>
      </c>
      <c r="C178" s="4">
        <f t="shared" si="8"/>
        <v>2.4817021276595241E-3</v>
      </c>
      <c r="D178" s="4">
        <f t="shared" si="9"/>
        <v>3.7717739146905238E-2</v>
      </c>
      <c r="E178" s="3">
        <v>1121.43</v>
      </c>
      <c r="F178" s="4">
        <f t="shared" si="10"/>
        <v>-7.0396179002329973E-4</v>
      </c>
      <c r="G178" s="4">
        <f t="shared" si="11"/>
        <v>0.12143000000000015</v>
      </c>
      <c r="H178" s="5">
        <f>Summary!$E$12*(1+G178)</f>
        <v>5382864.0000000009</v>
      </c>
      <c r="I178" s="5">
        <f>Summary!$E$12*(1+D178)</f>
        <v>4981045.1479051448</v>
      </c>
    </row>
    <row r="179" spans="1:9" ht="15" customHeight="1" x14ac:dyDescent="0.25">
      <c r="A179" s="6" t="s">
        <v>186</v>
      </c>
      <c r="B179" s="7">
        <v>23682.880000000001</v>
      </c>
      <c r="C179" s="8">
        <f t="shared" si="8"/>
        <v>5.2873040182832565E-3</v>
      </c>
      <c r="D179" s="8">
        <f t="shared" si="9"/>
        <v>4.3204468318940537E-2</v>
      </c>
      <c r="E179" s="7">
        <v>1121.6600000000001</v>
      </c>
      <c r="F179" s="8">
        <f t="shared" si="10"/>
        <v>2.0509528013334943E-4</v>
      </c>
      <c r="G179" s="8">
        <f t="shared" si="11"/>
        <v>0.1216600000000001</v>
      </c>
      <c r="H179" s="9">
        <f>Summary!$E$12*(1+G179)</f>
        <v>5383968.0000000009</v>
      </c>
      <c r="I179" s="9">
        <f>Summary!$E$12*(1+D179)</f>
        <v>5007381.4479309143</v>
      </c>
    </row>
    <row r="180" spans="1:9" ht="15" customHeight="1" x14ac:dyDescent="0.25">
      <c r="A180" s="2" t="s">
        <v>187</v>
      </c>
      <c r="B180" s="3">
        <v>23855.27</v>
      </c>
      <c r="C180" s="4">
        <f t="shared" si="8"/>
        <v>7.2790978124281924E-3</v>
      </c>
      <c r="D180" s="4">
        <f t="shared" si="9"/>
        <v>5.0798055682196086E-2</v>
      </c>
      <c r="E180" s="3">
        <v>1123.44</v>
      </c>
      <c r="F180" s="4">
        <f t="shared" si="10"/>
        <v>1.5869336519087618E-3</v>
      </c>
      <c r="G180" s="4">
        <f t="shared" si="11"/>
        <v>0.12343999999999999</v>
      </c>
      <c r="H180" s="5">
        <f>Summary!$E$12*(1+G180)</f>
        <v>5392512</v>
      </c>
      <c r="I180" s="5">
        <f>Summary!$E$12*(1+D180)</f>
        <v>5043830.6672745412</v>
      </c>
    </row>
    <row r="181" spans="1:9" ht="15" customHeight="1" x14ac:dyDescent="0.25">
      <c r="A181" s="6" t="s">
        <v>188</v>
      </c>
      <c r="B181" s="7">
        <v>23937.95</v>
      </c>
      <c r="C181" s="8">
        <f t="shared" si="8"/>
        <v>3.4659008261068713E-3</v>
      </c>
      <c r="D181" s="8">
        <f t="shared" si="9"/>
        <v>5.4440017531456553E-2</v>
      </c>
      <c r="E181" s="7">
        <v>1125.56</v>
      </c>
      <c r="F181" s="8">
        <f t="shared" si="10"/>
        <v>1.8870611692656247E-3</v>
      </c>
      <c r="G181" s="8">
        <f t="shared" si="11"/>
        <v>0.12555999999999989</v>
      </c>
      <c r="H181" s="9">
        <f>Summary!$E$12*(1+G181)</f>
        <v>5402687.9999999991</v>
      </c>
      <c r="I181" s="9">
        <f>Summary!$E$12*(1+D181)</f>
        <v>5061312.0841509914</v>
      </c>
    </row>
    <row r="182" spans="1:9" ht="15" customHeight="1" x14ac:dyDescent="0.25">
      <c r="A182" s="2" t="s">
        <v>189</v>
      </c>
      <c r="B182" s="3">
        <v>24030.17</v>
      </c>
      <c r="C182" s="4">
        <f t="shared" si="8"/>
        <v>3.8524602148470866E-3</v>
      </c>
      <c r="D182" s="4">
        <f t="shared" si="9"/>
        <v>5.8502205747938962E-2</v>
      </c>
      <c r="E182" s="3">
        <v>1127.3599999999999</v>
      </c>
      <c r="F182" s="4">
        <f t="shared" si="10"/>
        <v>1.5992039518106793E-3</v>
      </c>
      <c r="G182" s="4">
        <f t="shared" si="11"/>
        <v>0.12735999999999992</v>
      </c>
      <c r="H182" s="5">
        <f>Summary!$E$12*(1+G182)</f>
        <v>5411328</v>
      </c>
      <c r="I182" s="5">
        <f>Summary!$E$12*(1+D182)</f>
        <v>5080810.5875901068</v>
      </c>
    </row>
    <row r="183" spans="1:9" ht="15" customHeight="1" x14ac:dyDescent="0.25">
      <c r="A183" s="6" t="s">
        <v>190</v>
      </c>
      <c r="B183" s="7">
        <v>24072.959999999999</v>
      </c>
      <c r="C183" s="8">
        <f t="shared" si="8"/>
        <v>1.7806782057721016E-3</v>
      </c>
      <c r="D183" s="8">
        <f t="shared" si="9"/>
        <v>6.038705755647622E-2</v>
      </c>
      <c r="E183" s="7">
        <v>1129.81</v>
      </c>
      <c r="F183" s="8">
        <f t="shared" si="10"/>
        <v>2.1732188475731551E-3</v>
      </c>
      <c r="G183" s="8">
        <f t="shared" si="11"/>
        <v>0.12980999999999998</v>
      </c>
      <c r="H183" s="9">
        <f>Summary!$E$12*(1+G183)</f>
        <v>5423088</v>
      </c>
      <c r="I183" s="9">
        <f>Summary!$E$12*(1+D183)</f>
        <v>5089857.8762710858</v>
      </c>
    </row>
    <row r="184" spans="1:9" ht="15" customHeight="1" x14ac:dyDescent="0.25">
      <c r="A184" s="2" t="s">
        <v>191</v>
      </c>
      <c r="B184" s="3">
        <v>23875.99</v>
      </c>
      <c r="C184" s="4">
        <f t="shared" si="8"/>
        <v>-8.182209416706443E-3</v>
      </c>
      <c r="D184" s="4">
        <f t="shared" si="9"/>
        <v>5.1710748588783995E-2</v>
      </c>
      <c r="E184" s="3">
        <v>1128.96</v>
      </c>
      <c r="F184" s="4">
        <f t="shared" si="10"/>
        <v>-7.5233888883963207E-4</v>
      </c>
      <c r="G184" s="4">
        <f t="shared" si="11"/>
        <v>0.12895999999999996</v>
      </c>
      <c r="H184" s="5">
        <f>Summary!$E$12*(1+G184)</f>
        <v>5419008</v>
      </c>
      <c r="I184" s="5">
        <f>Summary!$E$12*(1+D184)</f>
        <v>5048211.5932261627</v>
      </c>
    </row>
    <row r="185" spans="1:9" ht="15" customHeight="1" x14ac:dyDescent="0.25">
      <c r="A185" s="6" t="s">
        <v>192</v>
      </c>
      <c r="B185" s="7">
        <v>23641.83</v>
      </c>
      <c r="C185" s="8">
        <f t="shared" si="8"/>
        <v>-9.8073420201633121E-3</v>
      </c>
      <c r="D185" s="8">
        <f t="shared" si="9"/>
        <v>4.1396261571091664E-2</v>
      </c>
      <c r="E185" s="7">
        <v>1126.52</v>
      </c>
      <c r="F185" s="8">
        <f t="shared" si="10"/>
        <v>-2.1612811791383857E-3</v>
      </c>
      <c r="G185" s="8">
        <f t="shared" si="11"/>
        <v>0.12651999999999997</v>
      </c>
      <c r="H185" s="9">
        <f>Summary!$E$12*(1+G185)</f>
        <v>5407296</v>
      </c>
      <c r="I185" s="9">
        <f>Summary!$E$12*(1+D185)</f>
        <v>4998702.0555412397</v>
      </c>
    </row>
    <row r="186" spans="1:9" ht="15" customHeight="1" x14ac:dyDescent="0.25">
      <c r="A186" s="2" t="s">
        <v>193</v>
      </c>
      <c r="B186" s="3">
        <v>23729.38</v>
      </c>
      <c r="C186" s="4">
        <f t="shared" si="8"/>
        <v>3.7031820294790574E-3</v>
      </c>
      <c r="D186" s="4">
        <f t="shared" si="9"/>
        <v>4.5252741492508575E-2</v>
      </c>
      <c r="E186" s="3">
        <v>1127.52</v>
      </c>
      <c r="F186" s="4">
        <f t="shared" si="10"/>
        <v>8.8768952171291993E-4</v>
      </c>
      <c r="G186" s="4">
        <f t="shared" si="11"/>
        <v>0.12752000000000008</v>
      </c>
      <c r="H186" s="5">
        <f>Summary!$E$12*(1+G186)</f>
        <v>5412096</v>
      </c>
      <c r="I186" s="5">
        <f>Summary!$E$12*(1+D186)</f>
        <v>5017213.1591640413</v>
      </c>
    </row>
    <row r="187" spans="1:9" ht="15" customHeight="1" x14ac:dyDescent="0.25">
      <c r="A187" s="6" t="s">
        <v>194</v>
      </c>
      <c r="B187" s="7">
        <v>23560.7</v>
      </c>
      <c r="C187" s="8">
        <f t="shared" si="8"/>
        <v>-7.10848745310666E-3</v>
      </c>
      <c r="D187" s="8">
        <f t="shared" si="9"/>
        <v>3.7822575494283583E-2</v>
      </c>
      <c r="E187" s="7">
        <v>1124.1500000000001</v>
      </c>
      <c r="F187" s="8">
        <f t="shared" si="10"/>
        <v>-2.988860508017499E-3</v>
      </c>
      <c r="G187" s="8">
        <f t="shared" si="11"/>
        <v>0.12414999999999998</v>
      </c>
      <c r="H187" s="9">
        <f>Summary!$E$12*(1+G187)</f>
        <v>5395920</v>
      </c>
      <c r="I187" s="9">
        <f>Summary!$E$12*(1+D187)</f>
        <v>4981548.3623725614</v>
      </c>
    </row>
    <row r="188" spans="1:9" ht="15" customHeight="1" x14ac:dyDescent="0.25">
      <c r="A188" s="2" t="s">
        <v>195</v>
      </c>
      <c r="B188" s="3">
        <v>23480.06</v>
      </c>
      <c r="C188" s="4">
        <f t="shared" si="8"/>
        <v>-3.4226487328474775E-3</v>
      </c>
      <c r="D188" s="4">
        <f t="shared" si="9"/>
        <v>3.4270473371347698E-2</v>
      </c>
      <c r="E188" s="3">
        <v>1122.7</v>
      </c>
      <c r="F188" s="4">
        <f t="shared" si="10"/>
        <v>-1.2898634523862418E-3</v>
      </c>
      <c r="G188" s="4">
        <f t="shared" si="11"/>
        <v>0.12270000000000003</v>
      </c>
      <c r="H188" s="5">
        <f>Summary!$E$12*(1+G188)</f>
        <v>5388960</v>
      </c>
      <c r="I188" s="5">
        <f>Summary!$E$12*(1+D188)</f>
        <v>4964498.2721824693</v>
      </c>
    </row>
    <row r="189" spans="1:9" ht="15" customHeight="1" x14ac:dyDescent="0.25">
      <c r="A189" s="6" t="s">
        <v>196</v>
      </c>
      <c r="B189" s="7">
        <v>23546.49</v>
      </c>
      <c r="C189" s="8">
        <f t="shared" si="8"/>
        <v>2.8292091246786555E-3</v>
      </c>
      <c r="D189" s="8">
        <f t="shared" si="9"/>
        <v>3.7196640831995476E-2</v>
      </c>
      <c r="E189" s="7">
        <v>1122.5899999999999</v>
      </c>
      <c r="F189" s="8">
        <f t="shared" si="10"/>
        <v>-9.7978088536732066E-5</v>
      </c>
      <c r="G189" s="8">
        <f t="shared" si="11"/>
        <v>0.12258999999999998</v>
      </c>
      <c r="H189" s="9">
        <f>Summary!$E$12*(1+G189)</f>
        <v>5388432</v>
      </c>
      <c r="I189" s="9">
        <f>Summary!$E$12*(1+D189)</f>
        <v>4978543.8759935787</v>
      </c>
    </row>
    <row r="190" spans="1:9" ht="15" customHeight="1" x14ac:dyDescent="0.25">
      <c r="A190" s="2" t="s">
        <v>197</v>
      </c>
      <c r="B190" s="3">
        <v>23529.77</v>
      </c>
      <c r="C190" s="4">
        <f t="shared" si="8"/>
        <v>-7.1008460284316399E-4</v>
      </c>
      <c r="D190" s="4">
        <f t="shared" si="9"/>
        <v>3.6460143467220041E-2</v>
      </c>
      <c r="E190" s="3">
        <v>1123</v>
      </c>
      <c r="F190" s="4">
        <f t="shared" si="10"/>
        <v>3.6522684150042117E-4</v>
      </c>
      <c r="G190" s="4">
        <f t="shared" si="11"/>
        <v>0.123</v>
      </c>
      <c r="H190" s="5">
        <f>Summary!$E$12*(1+G190)</f>
        <v>5390400</v>
      </c>
      <c r="I190" s="5">
        <f>Summary!$E$12*(1+D190)</f>
        <v>4975008.6886426564</v>
      </c>
    </row>
    <row r="191" spans="1:9" ht="15" customHeight="1" x14ac:dyDescent="0.25">
      <c r="A191" s="6" t="s">
        <v>198</v>
      </c>
      <c r="B191" s="7">
        <v>23447.93</v>
      </c>
      <c r="C191" s="8">
        <f t="shared" si="8"/>
        <v>-3.4781470452112107E-3</v>
      </c>
      <c r="D191" s="8">
        <f t="shared" si="9"/>
        <v>3.2855182681740258E-2</v>
      </c>
      <c r="E191" s="7">
        <v>1123.1600000000001</v>
      </c>
      <c r="F191" s="8">
        <f t="shared" si="10"/>
        <v>1.4247551202140052E-4</v>
      </c>
      <c r="G191" s="8">
        <f t="shared" si="11"/>
        <v>0.12316000000000016</v>
      </c>
      <c r="H191" s="9">
        <f>Summary!$E$12*(1+G191)</f>
        <v>5391168.0000000009</v>
      </c>
      <c r="I191" s="9">
        <f>Summary!$E$12*(1+D191)</f>
        <v>4957704.8768723533</v>
      </c>
    </row>
    <row r="192" spans="1:9" ht="15" customHeight="1" x14ac:dyDescent="0.25">
      <c r="A192" s="2" t="s">
        <v>199</v>
      </c>
      <c r="B192" s="3">
        <v>23351.25</v>
      </c>
      <c r="C192" s="4">
        <f t="shared" si="8"/>
        <v>-4.1231784639411684E-3</v>
      </c>
      <c r="D192" s="4">
        <f t="shared" si="9"/>
        <v>2.859653643613691E-2</v>
      </c>
      <c r="E192" s="3">
        <v>1121.96</v>
      </c>
      <c r="F192" s="4">
        <f t="shared" si="10"/>
        <v>-1.0684141173119555E-3</v>
      </c>
      <c r="G192" s="4">
        <f t="shared" si="11"/>
        <v>0.12196000000000007</v>
      </c>
      <c r="H192" s="5">
        <f>Summary!$E$12*(1+G192)</f>
        <v>5385408</v>
      </c>
      <c r="I192" s="5">
        <f>Summary!$E$12*(1+D192)</f>
        <v>4937263.3748934576</v>
      </c>
    </row>
    <row r="193" spans="1:9" ht="15" customHeight="1" x14ac:dyDescent="0.25">
      <c r="A193" s="6" t="s">
        <v>200</v>
      </c>
      <c r="B193" s="7">
        <v>23391</v>
      </c>
      <c r="C193" s="8">
        <f t="shared" si="8"/>
        <v>1.702264332744452E-3</v>
      </c>
      <c r="D193" s="8">
        <f t="shared" si="9"/>
        <v>3.0347479632896635E-2</v>
      </c>
      <c r="E193" s="7">
        <v>1122.04</v>
      </c>
      <c r="F193" s="8">
        <f t="shared" si="10"/>
        <v>7.1303789796361983E-5</v>
      </c>
      <c r="G193" s="8">
        <f t="shared" si="11"/>
        <v>0.12203999999999993</v>
      </c>
      <c r="H193" s="9">
        <f>Summary!$E$12*(1+G193)</f>
        <v>5385792</v>
      </c>
      <c r="I193" s="9">
        <f>Summary!$E$12*(1+D193)</f>
        <v>4945667.9022379043</v>
      </c>
    </row>
    <row r="194" spans="1:9" ht="15" customHeight="1" x14ac:dyDescent="0.25">
      <c r="A194" s="2" t="s">
        <v>201</v>
      </c>
      <c r="B194" s="3">
        <v>23639.49</v>
      </c>
      <c r="C194" s="4">
        <f t="shared" si="8"/>
        <v>1.0623316660254067E-2</v>
      </c>
      <c r="D194" s="4">
        <f t="shared" si="9"/>
        <v>4.1293187179131552E-2</v>
      </c>
      <c r="E194" s="3">
        <v>1123.1500000000001</v>
      </c>
      <c r="F194" s="4">
        <f t="shared" si="10"/>
        <v>9.8926954475797579E-4</v>
      </c>
      <c r="G194" s="4">
        <f t="shared" si="11"/>
        <v>0.12315000000000009</v>
      </c>
      <c r="H194" s="5">
        <f>Summary!$E$12*(1+G194)</f>
        <v>5391120</v>
      </c>
      <c r="I194" s="5">
        <f>Summary!$E$12*(1+D194)</f>
        <v>4998207.2984598316</v>
      </c>
    </row>
    <row r="195" spans="1:9" ht="15" customHeight="1" x14ac:dyDescent="0.25">
      <c r="A195" s="6" t="s">
        <v>202</v>
      </c>
      <c r="B195" s="7">
        <v>23426.35</v>
      </c>
      <c r="C195" s="8">
        <f t="shared" ref="C195:C258" si="12">B195/B194-1</f>
        <v>-9.0162689635014948E-3</v>
      </c>
      <c r="D195" s="8">
        <f t="shared" ref="D195:D258" si="13">B195/$B$2-1</f>
        <v>3.1904607733662882E-2</v>
      </c>
      <c r="E195" s="7">
        <v>1121.29</v>
      </c>
      <c r="F195" s="8">
        <f t="shared" ref="F195:F258" si="14">E195/E194-1</f>
        <v>-1.6560566264525178E-3</v>
      </c>
      <c r="G195" s="8">
        <f t="shared" ref="G195:G258" si="15">E195/$E$2-1</f>
        <v>0.1212899999999999</v>
      </c>
      <c r="H195" s="9">
        <f>Summary!$E$12*(1+G195)</f>
        <v>5382191.9999999991</v>
      </c>
      <c r="I195" s="9">
        <f>Summary!$E$12*(1+D195)</f>
        <v>4953142.1171215819</v>
      </c>
    </row>
    <row r="196" spans="1:9" ht="15" customHeight="1" x14ac:dyDescent="0.25">
      <c r="A196" s="2" t="s">
        <v>203</v>
      </c>
      <c r="B196" s="3">
        <v>23425.08</v>
      </c>
      <c r="C196" s="4">
        <f t="shared" si="12"/>
        <v>-5.4212457339608555E-5</v>
      </c>
      <c r="D196" s="4">
        <f t="shared" si="13"/>
        <v>3.1848665649137464E-2</v>
      </c>
      <c r="E196" s="3">
        <v>1121.82</v>
      </c>
      <c r="F196" s="4">
        <f t="shared" si="14"/>
        <v>4.7266987130889504E-4</v>
      </c>
      <c r="G196" s="4">
        <f t="shared" si="15"/>
        <v>0.12182000000000004</v>
      </c>
      <c r="H196" s="5">
        <f>Summary!$E$12*(1+G196)</f>
        <v>5384736</v>
      </c>
      <c r="I196" s="5">
        <f>Summary!$E$12*(1+D196)</f>
        <v>4952873.59511586</v>
      </c>
    </row>
    <row r="197" spans="1:9" ht="15" customHeight="1" x14ac:dyDescent="0.25">
      <c r="A197" s="6" t="s">
        <v>204</v>
      </c>
      <c r="B197" s="7">
        <v>23599.79</v>
      </c>
      <c r="C197" s="8">
        <f t="shared" si="12"/>
        <v>7.4582456068452707E-3</v>
      </c>
      <c r="D197" s="8">
        <f t="shared" si="13"/>
        <v>3.9544446426644342E-2</v>
      </c>
      <c r="E197" s="7">
        <v>1124.24</v>
      </c>
      <c r="F197" s="8">
        <f t="shared" si="14"/>
        <v>2.157208821379708E-3</v>
      </c>
      <c r="G197" s="8">
        <f t="shared" si="15"/>
        <v>0.12423999999999991</v>
      </c>
      <c r="H197" s="9">
        <f>Summary!$E$12*(1+G197)</f>
        <v>5396352</v>
      </c>
      <c r="I197" s="9">
        <f>Summary!$E$12*(1+D197)</f>
        <v>4989813.342847893</v>
      </c>
    </row>
    <row r="198" spans="1:9" ht="15" customHeight="1" x14ac:dyDescent="0.25">
      <c r="A198" s="2" t="s">
        <v>205</v>
      </c>
      <c r="B198" s="3">
        <v>23673.16</v>
      </c>
      <c r="C198" s="4">
        <f t="shared" si="12"/>
        <v>3.108925969256493E-3</v>
      </c>
      <c r="D198" s="4">
        <f t="shared" si="13"/>
        <v>4.2776313152336432E-2</v>
      </c>
      <c r="E198" s="3">
        <v>1124.43</v>
      </c>
      <c r="F198" s="4">
        <f t="shared" si="14"/>
        <v>1.6900305984490771E-4</v>
      </c>
      <c r="G198" s="4">
        <f t="shared" si="15"/>
        <v>0.12443000000000004</v>
      </c>
      <c r="H198" s="5">
        <f>Summary!$E$12*(1+G198)</f>
        <v>5397264</v>
      </c>
      <c r="I198" s="5">
        <f>Summary!$E$12*(1+D198)</f>
        <v>5005326.3031312153</v>
      </c>
    </row>
    <row r="199" spans="1:9" ht="15" customHeight="1" x14ac:dyDescent="0.25">
      <c r="A199" s="6" t="s">
        <v>206</v>
      </c>
      <c r="B199" s="7">
        <v>23620.2</v>
      </c>
      <c r="C199" s="8">
        <f t="shared" si="12"/>
        <v>-2.2371326852856921E-3</v>
      </c>
      <c r="D199" s="8">
        <f t="shared" si="13"/>
        <v>4.0443484178741551E-2</v>
      </c>
      <c r="E199" s="7">
        <v>1126.24</v>
      </c>
      <c r="F199" s="8">
        <f t="shared" si="14"/>
        <v>1.6097044724883158E-3</v>
      </c>
      <c r="G199" s="8">
        <f t="shared" si="15"/>
        <v>0.12623999999999991</v>
      </c>
      <c r="H199" s="9">
        <f>Summary!$E$12*(1+G199)</f>
        <v>5405952</v>
      </c>
      <c r="I199" s="9">
        <f>Summary!$E$12*(1+D199)</f>
        <v>4994128.7240579594</v>
      </c>
    </row>
    <row r="200" spans="1:9" ht="15" customHeight="1" x14ac:dyDescent="0.25">
      <c r="A200" s="2" t="s">
        <v>207</v>
      </c>
      <c r="B200" s="3">
        <v>23584</v>
      </c>
      <c r="C200" s="4">
        <f t="shared" si="12"/>
        <v>-1.5325865149321549E-3</v>
      </c>
      <c r="D200" s="4">
        <f t="shared" si="13"/>
        <v>3.8848914525340339E-2</v>
      </c>
      <c r="E200" s="3">
        <v>1127.3900000000001</v>
      </c>
      <c r="F200" s="4">
        <f t="shared" si="14"/>
        <v>1.0210967466970367E-3</v>
      </c>
      <c r="G200" s="4">
        <f t="shared" si="15"/>
        <v>0.12739000000000011</v>
      </c>
      <c r="H200" s="5">
        <f>Summary!$E$12*(1+G200)</f>
        <v>5411472.0000000009</v>
      </c>
      <c r="I200" s="5">
        <f>Summary!$E$12*(1+D200)</f>
        <v>4986474.7897216333</v>
      </c>
    </row>
    <row r="201" spans="1:9" ht="15" customHeight="1" x14ac:dyDescent="0.25">
      <c r="A201" s="6" t="s">
        <v>208</v>
      </c>
      <c r="B201" s="7">
        <v>23508.06</v>
      </c>
      <c r="C201" s="8">
        <f t="shared" si="12"/>
        <v>-3.2199796472184294E-3</v>
      </c>
      <c r="D201" s="8">
        <f t="shared" si="13"/>
        <v>3.5503842164033683E-2</v>
      </c>
      <c r="E201" s="7">
        <v>1126.8599999999999</v>
      </c>
      <c r="F201" s="8">
        <f t="shared" si="14"/>
        <v>-4.7011238346994499E-4</v>
      </c>
      <c r="G201" s="8">
        <f t="shared" si="15"/>
        <v>0.12685999999999997</v>
      </c>
      <c r="H201" s="9">
        <f>Summary!$E$12*(1+G201)</f>
        <v>5408928</v>
      </c>
      <c r="I201" s="9">
        <f>Summary!$E$12*(1+D201)</f>
        <v>4970418.442387362</v>
      </c>
    </row>
    <row r="202" spans="1:9" ht="15" customHeight="1" x14ac:dyDescent="0.25">
      <c r="A202" s="2" t="s">
        <v>209</v>
      </c>
      <c r="B202" s="3">
        <v>23487.14</v>
      </c>
      <c r="C202" s="4">
        <f t="shared" si="12"/>
        <v>-8.8990754660323024E-4</v>
      </c>
      <c r="D202" s="4">
        <f t="shared" si="13"/>
        <v>3.4582339480355273E-2</v>
      </c>
      <c r="E202" s="3">
        <v>1126.42</v>
      </c>
      <c r="F202" s="4">
        <f t="shared" si="14"/>
        <v>-3.9046554141586309E-4</v>
      </c>
      <c r="G202" s="4">
        <f t="shared" si="15"/>
        <v>0.12641999999999998</v>
      </c>
      <c r="H202" s="5">
        <f>Summary!$E$12*(1+G202)</f>
        <v>5406816</v>
      </c>
      <c r="I202" s="5">
        <f>Summary!$E$12*(1+D202)</f>
        <v>4965995.2295057056</v>
      </c>
    </row>
    <row r="203" spans="1:9" ht="15" customHeight="1" x14ac:dyDescent="0.25">
      <c r="A203" s="6" t="s">
        <v>210</v>
      </c>
      <c r="B203" s="7">
        <v>23554.74</v>
      </c>
      <c r="C203" s="8">
        <f t="shared" si="12"/>
        <v>2.8781707777107979E-3</v>
      </c>
      <c r="D203" s="8">
        <f t="shared" si="13"/>
        <v>3.7560044136983217E-2</v>
      </c>
      <c r="E203" s="7">
        <v>1127.04</v>
      </c>
      <c r="F203" s="8">
        <f t="shared" si="14"/>
        <v>5.5041636334562938E-4</v>
      </c>
      <c r="G203" s="8">
        <f t="shared" si="15"/>
        <v>0.12704000000000004</v>
      </c>
      <c r="H203" s="9">
        <f>Summary!$E$12*(1+G203)</f>
        <v>5409792</v>
      </c>
      <c r="I203" s="9">
        <f>Summary!$E$12*(1+D203)</f>
        <v>4980288.2118575191</v>
      </c>
    </row>
    <row r="204" spans="1:9" ht="15" customHeight="1" x14ac:dyDescent="0.25">
      <c r="A204" s="2" t="s">
        <v>211</v>
      </c>
      <c r="B204" s="3">
        <v>23242.720000000001</v>
      </c>
      <c r="C204" s="4">
        <f t="shared" si="12"/>
        <v>-1.3246590707432948E-2</v>
      </c>
      <c r="D204" s="4">
        <f t="shared" si="13"/>
        <v>2.3815910897914572E-2</v>
      </c>
      <c r="E204" s="3">
        <v>1124.5</v>
      </c>
      <c r="F204" s="4">
        <f t="shared" si="14"/>
        <v>-2.2536910846109315E-3</v>
      </c>
      <c r="G204" s="4">
        <f t="shared" si="15"/>
        <v>0.12450000000000006</v>
      </c>
      <c r="H204" s="5">
        <f>Summary!$E$12*(1+G204)</f>
        <v>5397600</v>
      </c>
      <c r="I204" s="5">
        <f>Summary!$E$12*(1+D204)</f>
        <v>4914316.3723099902</v>
      </c>
    </row>
    <row r="205" spans="1:9" ht="15" customHeight="1" x14ac:dyDescent="0.25">
      <c r="A205" s="6" t="s">
        <v>212</v>
      </c>
      <c r="B205" s="7">
        <v>23039.85</v>
      </c>
      <c r="C205" s="8">
        <f t="shared" si="12"/>
        <v>-8.7283243957678724E-3</v>
      </c>
      <c r="D205" s="8">
        <f t="shared" si="13"/>
        <v>1.4879713506048997E-2</v>
      </c>
      <c r="E205" s="7">
        <v>1122.81</v>
      </c>
      <c r="F205" s="8">
        <f t="shared" si="14"/>
        <v>-1.5028901734104316E-3</v>
      </c>
      <c r="G205" s="8">
        <f t="shared" si="15"/>
        <v>0.12280999999999986</v>
      </c>
      <c r="H205" s="9">
        <f>Summary!$E$12*(1+G205)</f>
        <v>5389487.9999999991</v>
      </c>
      <c r="I205" s="9">
        <f>Summary!$E$12*(1+D205)</f>
        <v>4871422.6248290353</v>
      </c>
    </row>
    <row r="206" spans="1:9" ht="15" customHeight="1" x14ac:dyDescent="0.25">
      <c r="A206" s="2" t="s">
        <v>213</v>
      </c>
      <c r="B206" s="3">
        <v>23000.44</v>
      </c>
      <c r="C206" s="4">
        <f t="shared" si="12"/>
        <v>-1.7105146083850054E-3</v>
      </c>
      <c r="D206" s="4">
        <f t="shared" si="13"/>
        <v>1.3143746930343259E-2</v>
      </c>
      <c r="E206" s="3">
        <v>1123.2</v>
      </c>
      <c r="F206" s="4">
        <f t="shared" si="14"/>
        <v>3.4734282737081124E-4</v>
      </c>
      <c r="G206" s="4">
        <f t="shared" si="15"/>
        <v>0.12319999999999998</v>
      </c>
      <c r="H206" s="5">
        <f>Summary!$E$12*(1+G206)</f>
        <v>5391360</v>
      </c>
      <c r="I206" s="5">
        <f>Summary!$E$12*(1+D206)</f>
        <v>4863089.985265648</v>
      </c>
    </row>
    <row r="207" spans="1:9" ht="15" customHeight="1" x14ac:dyDescent="0.25">
      <c r="A207" s="6" t="s">
        <v>214</v>
      </c>
      <c r="B207" s="7">
        <v>22983.45</v>
      </c>
      <c r="C207" s="8">
        <f t="shared" si="12"/>
        <v>-7.3868152087519512E-4</v>
      </c>
      <c r="D207" s="8">
        <f t="shared" si="13"/>
        <v>1.239535636649558E-2</v>
      </c>
      <c r="E207" s="7">
        <v>1124.0999999999999</v>
      </c>
      <c r="F207" s="8">
        <f t="shared" si="14"/>
        <v>8.0128205128193741E-4</v>
      </c>
      <c r="G207" s="8">
        <f t="shared" si="15"/>
        <v>0.12409999999999988</v>
      </c>
      <c r="H207" s="9">
        <f>Summary!$E$12*(1+G207)</f>
        <v>5395679.9999999991</v>
      </c>
      <c r="I207" s="9">
        <f>Summary!$E$12*(1+D207)</f>
        <v>4859497.7105591791</v>
      </c>
    </row>
    <row r="208" spans="1:9" ht="15" customHeight="1" x14ac:dyDescent="0.25">
      <c r="A208" s="2" t="s">
        <v>215</v>
      </c>
      <c r="B208" s="3">
        <v>22939.53</v>
      </c>
      <c r="C208" s="4">
        <f t="shared" si="12"/>
        <v>-1.9109402635375528E-3</v>
      </c>
      <c r="D208" s="4">
        <f t="shared" si="13"/>
        <v>1.0460729317396389E-2</v>
      </c>
      <c r="E208" s="3">
        <v>1125.3499999999999</v>
      </c>
      <c r="F208" s="4">
        <f t="shared" si="14"/>
        <v>1.1120007116804942E-3</v>
      </c>
      <c r="G208" s="4">
        <f t="shared" si="15"/>
        <v>0.12534999999999985</v>
      </c>
      <c r="H208" s="5">
        <f>Summary!$E$12*(1+G208)</f>
        <v>5401679.9999999991</v>
      </c>
      <c r="I208" s="5">
        <f>Summary!$E$12*(1+D208)</f>
        <v>4850211.5007235026</v>
      </c>
    </row>
    <row r="209" spans="1:9" ht="15" customHeight="1" x14ac:dyDescent="0.25">
      <c r="A209" s="6" t="s">
        <v>216</v>
      </c>
      <c r="B209" s="7">
        <v>22919.47</v>
      </c>
      <c r="C209" s="8">
        <f t="shared" si="12"/>
        <v>-8.7447301666587762E-4</v>
      </c>
      <c r="D209" s="8">
        <f t="shared" si="13"/>
        <v>9.5771086752078904E-3</v>
      </c>
      <c r="E209" s="7">
        <v>1126.6099999999999</v>
      </c>
      <c r="F209" s="8">
        <f t="shared" si="14"/>
        <v>1.1196516639266907E-3</v>
      </c>
      <c r="G209" s="8">
        <f t="shared" si="15"/>
        <v>0.12660999999999989</v>
      </c>
      <c r="H209" s="9">
        <f>Summary!$E$12*(1+G209)</f>
        <v>5407727.9999999991</v>
      </c>
      <c r="I209" s="9">
        <f>Summary!$E$12*(1+D209)</f>
        <v>4845970.1216409979</v>
      </c>
    </row>
    <row r="210" spans="1:9" ht="15" customHeight="1" x14ac:dyDescent="0.25">
      <c r="A210" s="2" t="s">
        <v>217</v>
      </c>
      <c r="B210" s="3">
        <v>22966.45</v>
      </c>
      <c r="C210" s="4">
        <f t="shared" si="12"/>
        <v>2.0497856189518604E-3</v>
      </c>
      <c r="D210" s="4">
        <f t="shared" si="13"/>
        <v>1.1646525313793399E-2</v>
      </c>
      <c r="E210" s="3">
        <v>1127.25</v>
      </c>
      <c r="F210" s="4">
        <f t="shared" si="14"/>
        <v>5.6807590914353945E-4</v>
      </c>
      <c r="G210" s="4">
        <f t="shared" si="15"/>
        <v>0.12725000000000009</v>
      </c>
      <c r="H210" s="5">
        <f>Summary!$E$12*(1+G210)</f>
        <v>5410800</v>
      </c>
      <c r="I210" s="5">
        <f>Summary!$E$12*(1+D210)</f>
        <v>4855903.3215062087</v>
      </c>
    </row>
    <row r="211" spans="1:9" ht="15" customHeight="1" x14ac:dyDescent="0.25">
      <c r="A211" s="6" t="s">
        <v>218</v>
      </c>
      <c r="B211" s="7">
        <v>22953.16</v>
      </c>
      <c r="C211" s="8">
        <f t="shared" si="12"/>
        <v>-5.7867019064772318E-4</v>
      </c>
      <c r="D211" s="8">
        <f t="shared" si="13"/>
        <v>1.1061115626121998E-2</v>
      </c>
      <c r="E211" s="7">
        <v>1127.8</v>
      </c>
      <c r="F211" s="8">
        <f t="shared" si="14"/>
        <v>4.8791306276330104E-4</v>
      </c>
      <c r="G211" s="8">
        <f t="shared" si="15"/>
        <v>0.12779999999999991</v>
      </c>
      <c r="H211" s="9">
        <f>Summary!$E$12*(1+G211)</f>
        <v>5413440</v>
      </c>
      <c r="I211" s="9">
        <f>Summary!$E$12*(1+D211)</f>
        <v>4853093.3550053854</v>
      </c>
    </row>
    <row r="212" spans="1:9" ht="15" customHeight="1" x14ac:dyDescent="0.25">
      <c r="A212" s="2" t="s">
        <v>219</v>
      </c>
      <c r="B212" s="3">
        <v>23242.03</v>
      </c>
      <c r="C212" s="4">
        <f t="shared" si="12"/>
        <v>1.2585195241090918E-2</v>
      </c>
      <c r="D212" s="4">
        <f t="shared" si="13"/>
        <v>2.3785517166951875E-2</v>
      </c>
      <c r="E212" s="3">
        <v>1130.54</v>
      </c>
      <c r="F212" s="4">
        <f t="shared" si="14"/>
        <v>2.4295087781520674E-3</v>
      </c>
      <c r="G212" s="4">
        <f t="shared" si="15"/>
        <v>0.13053999999999988</v>
      </c>
      <c r="H212" s="5">
        <f>Summary!$E$12*(1+G212)</f>
        <v>5426591.9999999991</v>
      </c>
      <c r="I212" s="5">
        <f>Summary!$E$12*(1+D212)</f>
        <v>4914170.4824013691</v>
      </c>
    </row>
    <row r="213" spans="1:9" ht="15" customHeight="1" x14ac:dyDescent="0.25">
      <c r="A213" s="6" t="s">
        <v>220</v>
      </c>
      <c r="B213" s="7">
        <v>23065.95</v>
      </c>
      <c r="C213" s="8">
        <f t="shared" si="12"/>
        <v>-7.5759303296656366E-3</v>
      </c>
      <c r="D213" s="8">
        <f t="shared" si="13"/>
        <v>1.6029389416374329E-2</v>
      </c>
      <c r="E213" s="7">
        <v>1128.53</v>
      </c>
      <c r="F213" s="8">
        <f t="shared" si="14"/>
        <v>-1.7779114405505059E-3</v>
      </c>
      <c r="G213" s="8">
        <f t="shared" si="15"/>
        <v>0.12853000000000003</v>
      </c>
      <c r="H213" s="9">
        <f>Summary!$E$12*(1+G213)</f>
        <v>5416944</v>
      </c>
      <c r="I213" s="9">
        <f>Summary!$E$12*(1+D213)</f>
        <v>4876941.0691985972</v>
      </c>
    </row>
    <row r="214" spans="1:9" ht="15" customHeight="1" x14ac:dyDescent="0.25">
      <c r="A214" s="2" t="s">
        <v>221</v>
      </c>
      <c r="B214" s="3">
        <v>22936.21</v>
      </c>
      <c r="C214" s="4">
        <f t="shared" si="12"/>
        <v>-5.6247412311221101E-3</v>
      </c>
      <c r="D214" s="4">
        <f t="shared" si="13"/>
        <v>1.0314487017692331E-2</v>
      </c>
      <c r="E214" s="3">
        <v>1129.49</v>
      </c>
      <c r="F214" s="4">
        <f t="shared" si="14"/>
        <v>8.5066413830392484E-4</v>
      </c>
      <c r="G214" s="4">
        <f t="shared" si="15"/>
        <v>0.12949000000000011</v>
      </c>
      <c r="H214" s="5">
        <f>Summary!$E$12*(1+G214)</f>
        <v>5421552.0000000009</v>
      </c>
      <c r="I214" s="5">
        <f>Summary!$E$12*(1+D214)</f>
        <v>4849509.537684923</v>
      </c>
    </row>
    <row r="215" spans="1:9" ht="15" customHeight="1" x14ac:dyDescent="0.25">
      <c r="A215" s="6" t="s">
        <v>222</v>
      </c>
      <c r="B215" s="7">
        <v>22652.959999999999</v>
      </c>
      <c r="C215" s="8">
        <f t="shared" si="12"/>
        <v>-1.2349468373371142E-2</v>
      </c>
      <c r="D215" s="8">
        <f t="shared" si="13"/>
        <v>-2.162359786891499E-3</v>
      </c>
      <c r="E215" s="7">
        <v>1126.53</v>
      </c>
      <c r="F215" s="8">
        <f t="shared" si="14"/>
        <v>-2.6206517985993827E-3</v>
      </c>
      <c r="G215" s="8">
        <f t="shared" si="15"/>
        <v>0.12653000000000003</v>
      </c>
      <c r="H215" s="9">
        <f>Summary!$E$12*(1+G215)</f>
        <v>5407344</v>
      </c>
      <c r="I215" s="9">
        <f>Summary!$E$12*(1+D215)</f>
        <v>4789620.6730229212</v>
      </c>
    </row>
    <row r="216" spans="1:9" ht="15" customHeight="1" x14ac:dyDescent="0.25">
      <c r="A216" s="2" t="s">
        <v>223</v>
      </c>
      <c r="B216" s="3">
        <v>22659.05</v>
      </c>
      <c r="C216" s="4">
        <f t="shared" si="12"/>
        <v>2.6883903913654805E-4</v>
      </c>
      <c r="D216" s="4">
        <f t="shared" si="13"/>
        <v>-1.8941020744822623E-3</v>
      </c>
      <c r="E216" s="3">
        <v>1128.9000000000001</v>
      </c>
      <c r="F216" s="4">
        <f t="shared" si="14"/>
        <v>2.103805491198818E-3</v>
      </c>
      <c r="G216" s="4">
        <f t="shared" si="15"/>
        <v>0.12890000000000001</v>
      </c>
      <c r="H216" s="5">
        <f>Summary!$E$12*(1+G216)</f>
        <v>5418720</v>
      </c>
      <c r="I216" s="5">
        <f>Summary!$E$12*(1+D216)</f>
        <v>4790908.3100424856</v>
      </c>
    </row>
    <row r="217" spans="1:9" ht="15" customHeight="1" x14ac:dyDescent="0.25">
      <c r="A217" s="6" t="s">
        <v>224</v>
      </c>
      <c r="B217" s="7">
        <v>22615.25</v>
      </c>
      <c r="C217" s="8">
        <f t="shared" si="12"/>
        <v>-1.9330024868650098E-3</v>
      </c>
      <c r="D217" s="8">
        <f t="shared" si="13"/>
        <v>-3.823443257326975E-3</v>
      </c>
      <c r="E217" s="7">
        <v>1128.4000000000001</v>
      </c>
      <c r="F217" s="8">
        <f t="shared" si="14"/>
        <v>-4.429090264859159E-4</v>
      </c>
      <c r="G217" s="8">
        <f t="shared" si="15"/>
        <v>0.12840000000000007</v>
      </c>
      <c r="H217" s="9">
        <f>Summary!$E$12*(1+G217)</f>
        <v>5416320</v>
      </c>
      <c r="I217" s="9">
        <f>Summary!$E$12*(1+D217)</f>
        <v>4781647.4723648308</v>
      </c>
    </row>
    <row r="218" spans="1:9" ht="15" customHeight="1" x14ac:dyDescent="0.25">
      <c r="A218" s="2" t="s">
        <v>225</v>
      </c>
      <c r="B218" s="3">
        <v>22515.97</v>
      </c>
      <c r="C218" s="4">
        <f t="shared" si="12"/>
        <v>-4.3899581034920754E-3</v>
      </c>
      <c r="D218" s="4">
        <f t="shared" si="13"/>
        <v>-8.1966166051082867E-3</v>
      </c>
      <c r="E218" s="3">
        <v>1127.96</v>
      </c>
      <c r="F218" s="4">
        <f t="shared" si="14"/>
        <v>-3.8993264799724869E-4</v>
      </c>
      <c r="G218" s="4">
        <f t="shared" si="15"/>
        <v>0.12796000000000007</v>
      </c>
      <c r="H218" s="5">
        <f>Summary!$E$12*(1+G218)</f>
        <v>5414208</v>
      </c>
      <c r="I218" s="5">
        <f>Summary!$E$12*(1+D218)</f>
        <v>4760656.24029548</v>
      </c>
    </row>
    <row r="219" spans="1:9" ht="15" customHeight="1" x14ac:dyDescent="0.25">
      <c r="A219" s="6" t="s">
        <v>226</v>
      </c>
      <c r="B219" s="7">
        <v>22280.05</v>
      </c>
      <c r="C219" s="8">
        <f t="shared" si="12"/>
        <v>-1.0477896355342575E-2</v>
      </c>
      <c r="D219" s="8">
        <f t="shared" si="13"/>
        <v>-1.8588629661198008E-2</v>
      </c>
      <c r="E219" s="7">
        <v>1126.99</v>
      </c>
      <c r="F219" s="8">
        <f t="shared" si="14"/>
        <v>-8.5995957303452997E-4</v>
      </c>
      <c r="G219" s="8">
        <f t="shared" si="15"/>
        <v>0.12698999999999994</v>
      </c>
      <c r="H219" s="9">
        <f>Summary!$E$12*(1+G219)</f>
        <v>5409552</v>
      </c>
      <c r="I219" s="9">
        <f>Summary!$E$12*(1+D219)</f>
        <v>4710774.5776262498</v>
      </c>
    </row>
    <row r="220" spans="1:9" ht="15" customHeight="1" x14ac:dyDescent="0.25">
      <c r="A220" s="2" t="s">
        <v>227</v>
      </c>
      <c r="B220" s="3">
        <v>22341</v>
      </c>
      <c r="C220" s="4">
        <f t="shared" si="12"/>
        <v>2.7356312037001285E-3</v>
      </c>
      <c r="D220" s="4">
        <f t="shared" si="13"/>
        <v>-1.5903850092833016E-2</v>
      </c>
      <c r="E220" s="3">
        <v>1128.8800000000001</v>
      </c>
      <c r="F220" s="4">
        <f t="shared" si="14"/>
        <v>1.6770335140507964E-3</v>
      </c>
      <c r="G220" s="4">
        <f t="shared" si="15"/>
        <v>0.12888000000000011</v>
      </c>
      <c r="H220" s="5">
        <f>Summary!$E$12*(1+G220)</f>
        <v>5418624.0000000009</v>
      </c>
      <c r="I220" s="5">
        <f>Summary!$E$12*(1+D220)</f>
        <v>4723661.5195544017</v>
      </c>
    </row>
    <row r="221" spans="1:9" ht="15" customHeight="1" x14ac:dyDescent="0.25">
      <c r="A221" s="6" t="s">
        <v>228</v>
      </c>
      <c r="B221" s="7">
        <v>22638.77</v>
      </c>
      <c r="C221" s="8">
        <f t="shared" si="12"/>
        <v>1.3328409650418482E-2</v>
      </c>
      <c r="D221" s="8">
        <f t="shared" si="13"/>
        <v>-2.7874134714706011E-3</v>
      </c>
      <c r="E221" s="7">
        <v>1133.53</v>
      </c>
      <c r="F221" s="8">
        <f t="shared" si="14"/>
        <v>4.1191269222591309E-3</v>
      </c>
      <c r="G221" s="8">
        <f t="shared" si="15"/>
        <v>0.13352999999999993</v>
      </c>
      <c r="H221" s="9">
        <f>Summary!$E$12*(1+G221)</f>
        <v>5440944</v>
      </c>
      <c r="I221" s="9">
        <f>Summary!$E$12*(1+D221)</f>
        <v>4786620.4153369414</v>
      </c>
    </row>
    <row r="222" spans="1:9" ht="15" customHeight="1" x14ac:dyDescent="0.25">
      <c r="A222" s="2" t="s">
        <v>229</v>
      </c>
      <c r="B222" s="3">
        <v>22721.73</v>
      </c>
      <c r="C222" s="4">
        <f t="shared" si="12"/>
        <v>3.6645100418442045E-3</v>
      </c>
      <c r="D222" s="4">
        <f t="shared" si="13"/>
        <v>8.6688206571650106E-4</v>
      </c>
      <c r="E222" s="3">
        <v>1135.3599999999999</v>
      </c>
      <c r="F222" s="4">
        <f t="shared" si="14"/>
        <v>1.6144257320052091E-3</v>
      </c>
      <c r="G222" s="4">
        <f t="shared" si="15"/>
        <v>0.13535999999999992</v>
      </c>
      <c r="H222" s="5">
        <f>Summary!$E$12*(1+G222)</f>
        <v>5449728</v>
      </c>
      <c r="I222" s="5">
        <f>Summary!$E$12*(1+D222)</f>
        <v>4804161.0339154396</v>
      </c>
    </row>
    <row r="223" spans="1:9" ht="15" customHeight="1" x14ac:dyDescent="0.25">
      <c r="A223" s="6" t="s">
        <v>230</v>
      </c>
      <c r="B223" s="7">
        <v>22862.69</v>
      </c>
      <c r="C223" s="8">
        <f t="shared" si="12"/>
        <v>6.2037529712746231E-3</v>
      </c>
      <c r="D223" s="8">
        <f t="shared" si="13"/>
        <v>7.076012959182032E-3</v>
      </c>
      <c r="E223" s="7">
        <v>1137.54</v>
      </c>
      <c r="F223" s="8">
        <f t="shared" si="14"/>
        <v>1.9200958286358372E-3</v>
      </c>
      <c r="G223" s="8">
        <f t="shared" si="15"/>
        <v>0.13754</v>
      </c>
      <c r="H223" s="9">
        <f>Summary!$E$12*(1+G223)</f>
        <v>5460192</v>
      </c>
      <c r="I223" s="9">
        <f>Summary!$E$12*(1+D223)</f>
        <v>4833964.8622040739</v>
      </c>
    </row>
    <row r="224" spans="1:9" ht="15" customHeight="1" x14ac:dyDescent="0.25">
      <c r="A224" s="2" t="s">
        <v>231</v>
      </c>
      <c r="B224" s="3">
        <v>22696.95</v>
      </c>
      <c r="C224" s="4">
        <f t="shared" si="12"/>
        <v>-7.249365669569019E-3</v>
      </c>
      <c r="D224" s="4">
        <f t="shared" si="13"/>
        <v>-2.246493158106766E-4</v>
      </c>
      <c r="E224" s="3">
        <v>1136.97</v>
      </c>
      <c r="F224" s="4">
        <f t="shared" si="14"/>
        <v>-5.010812806581777E-4</v>
      </c>
      <c r="G224" s="4">
        <f t="shared" si="15"/>
        <v>0.13697000000000004</v>
      </c>
      <c r="H224" s="5">
        <f>Summary!$E$12*(1+G224)</f>
        <v>5457456</v>
      </c>
      <c r="I224" s="5">
        <f>Summary!$E$12*(1+D224)</f>
        <v>4798921.6832841085</v>
      </c>
    </row>
    <row r="225" spans="1:9" ht="15" customHeight="1" x14ac:dyDescent="0.25">
      <c r="A225" s="6" t="s">
        <v>232</v>
      </c>
      <c r="B225" s="7">
        <v>22768.21</v>
      </c>
      <c r="C225" s="8">
        <f t="shared" si="12"/>
        <v>3.1396288928688953E-3</v>
      </c>
      <c r="D225" s="8">
        <f t="shared" si="13"/>
        <v>2.9142742615755335E-3</v>
      </c>
      <c r="E225" s="7">
        <v>1138.28</v>
      </c>
      <c r="F225" s="8">
        <f t="shared" si="14"/>
        <v>1.1521851939804151E-3</v>
      </c>
      <c r="G225" s="8">
        <f t="shared" si="15"/>
        <v>0.13827999999999996</v>
      </c>
      <c r="H225" s="9">
        <f>Summary!$E$12*(1+G225)</f>
        <v>5463744</v>
      </c>
      <c r="I225" s="9">
        <f>Summary!$E$12*(1+D225)</f>
        <v>4813988.5164555628</v>
      </c>
    </row>
    <row r="226" spans="1:9" ht="15" customHeight="1" x14ac:dyDescent="0.25">
      <c r="A226" s="2" t="s">
        <v>233</v>
      </c>
      <c r="B226" s="3">
        <v>22863.279999999999</v>
      </c>
      <c r="C226" s="4">
        <f t="shared" si="12"/>
        <v>4.1755588164373858E-3</v>
      </c>
      <c r="D226" s="4">
        <f t="shared" si="13"/>
        <v>7.1020018015994779E-3</v>
      </c>
      <c r="E226" s="3">
        <v>1142.1600000000001</v>
      </c>
      <c r="F226" s="4">
        <f t="shared" si="14"/>
        <v>3.408651649857708E-3</v>
      </c>
      <c r="G226" s="4">
        <f t="shared" si="15"/>
        <v>0.14216000000000006</v>
      </c>
      <c r="H226" s="5">
        <f>Summary!$E$12*(1+G226)</f>
        <v>5482368</v>
      </c>
      <c r="I226" s="5">
        <f>Summary!$E$12*(1+D226)</f>
        <v>4834089.6086476771</v>
      </c>
    </row>
    <row r="227" spans="1:9" ht="15" customHeight="1" x14ac:dyDescent="0.25">
      <c r="A227" s="6" t="s">
        <v>234</v>
      </c>
      <c r="B227" s="7">
        <v>23133.67</v>
      </c>
      <c r="C227" s="8">
        <f t="shared" si="12"/>
        <v>1.1826387115059678E-2</v>
      </c>
      <c r="D227" s="8">
        <f t="shared" si="13"/>
        <v>1.901237993925653E-2</v>
      </c>
      <c r="E227" s="7">
        <v>1145.94</v>
      </c>
      <c r="F227" s="8">
        <f t="shared" si="14"/>
        <v>3.3095188064720116E-3</v>
      </c>
      <c r="G227" s="8">
        <f t="shared" si="15"/>
        <v>0.14593999999999996</v>
      </c>
      <c r="H227" s="9">
        <f>Summary!$E$12*(1+G227)</f>
        <v>5500512</v>
      </c>
      <c r="I227" s="9">
        <f>Summary!$E$12*(1+D227)</f>
        <v>4891259.4237084314</v>
      </c>
    </row>
    <row r="228" spans="1:9" ht="15" customHeight="1" x14ac:dyDescent="0.25">
      <c r="A228" s="2" t="s">
        <v>235</v>
      </c>
      <c r="B228" s="3">
        <v>23242.91</v>
      </c>
      <c r="C228" s="4">
        <f t="shared" si="12"/>
        <v>4.7221214792119159E-3</v>
      </c>
      <c r="D228" s="4">
        <f t="shared" si="13"/>
        <v>2.382428018615057E-2</v>
      </c>
      <c r="E228" s="3">
        <v>1150.07</v>
      </c>
      <c r="F228" s="4">
        <f t="shared" si="14"/>
        <v>3.6040281341080949E-3</v>
      </c>
      <c r="G228" s="4">
        <f t="shared" si="15"/>
        <v>0.15006999999999993</v>
      </c>
      <c r="H228" s="5">
        <f>Summary!$E$12*(1+G228)</f>
        <v>5520336</v>
      </c>
      <c r="I228" s="5">
        <f>Summary!$E$12*(1+D228)</f>
        <v>4914356.5448935227</v>
      </c>
    </row>
    <row r="229" spans="1:9" ht="15" customHeight="1" x14ac:dyDescent="0.25">
      <c r="A229" s="6" t="s">
        <v>236</v>
      </c>
      <c r="B229" s="7">
        <v>23422.51</v>
      </c>
      <c r="C229" s="8">
        <f t="shared" si="12"/>
        <v>7.7270875290571528E-3</v>
      </c>
      <c r="D229" s="8">
        <f t="shared" si="13"/>
        <v>3.1735460013522898E-2</v>
      </c>
      <c r="E229" s="7">
        <v>1150.33</v>
      </c>
      <c r="F229" s="8">
        <f t="shared" si="14"/>
        <v>2.2607319554457384E-4</v>
      </c>
      <c r="G229" s="8">
        <f t="shared" si="15"/>
        <v>0.15032999999999985</v>
      </c>
      <c r="H229" s="9">
        <f>Summary!$E$12*(1+G229)</f>
        <v>5521583.9999999991</v>
      </c>
      <c r="I229" s="9">
        <f>Summary!$E$12*(1+D229)</f>
        <v>4952330.20806491</v>
      </c>
    </row>
    <row r="230" spans="1:9" ht="15" customHeight="1" x14ac:dyDescent="0.25">
      <c r="A230" s="2" t="s">
        <v>237</v>
      </c>
      <c r="B230" s="3">
        <v>23222.47</v>
      </c>
      <c r="C230" s="4">
        <f t="shared" si="12"/>
        <v>-8.5405022775097983E-3</v>
      </c>
      <c r="D230" s="4">
        <f t="shared" si="13"/>
        <v>2.2923920967489853E-2</v>
      </c>
      <c r="E230" s="3">
        <v>1149.6600000000001</v>
      </c>
      <c r="F230" s="4">
        <f t="shared" si="14"/>
        <v>-5.8244156024778171E-4</v>
      </c>
      <c r="G230" s="4">
        <f t="shared" si="15"/>
        <v>0.14966000000000013</v>
      </c>
      <c r="H230" s="5">
        <f>Summary!$E$12*(1+G230)</f>
        <v>5518368.0000000009</v>
      </c>
      <c r="I230" s="5">
        <f>Summary!$E$12*(1+D230)</f>
        <v>4910034.8206439512</v>
      </c>
    </row>
    <row r="231" spans="1:9" ht="15" customHeight="1" x14ac:dyDescent="0.25">
      <c r="A231" s="6" t="s">
        <v>238</v>
      </c>
      <c r="B231" s="7">
        <v>23217.22</v>
      </c>
      <c r="C231" s="8">
        <f t="shared" si="12"/>
        <v>-2.2607414284525618E-4</v>
      </c>
      <c r="D231" s="8">
        <f t="shared" si="13"/>
        <v>2.2692664318861189E-2</v>
      </c>
      <c r="E231" s="7">
        <v>1151.45</v>
      </c>
      <c r="F231" s="8">
        <f t="shared" si="14"/>
        <v>1.5569820642624688E-3</v>
      </c>
      <c r="G231" s="8">
        <f t="shared" si="15"/>
        <v>0.15145000000000008</v>
      </c>
      <c r="H231" s="9">
        <f>Summary!$E$12*(1+G231)</f>
        <v>5526960</v>
      </c>
      <c r="I231" s="9">
        <f>Summary!$E$12*(1+D231)</f>
        <v>4908924.7887305338</v>
      </c>
    </row>
    <row r="232" spans="1:9" ht="15" customHeight="1" x14ac:dyDescent="0.25">
      <c r="A232" s="2" t="s">
        <v>239</v>
      </c>
      <c r="B232" s="3">
        <v>23254.560000000001</v>
      </c>
      <c r="C232" s="4">
        <f t="shared" si="12"/>
        <v>1.6082890199602407E-3</v>
      </c>
      <c r="D232" s="4">
        <f t="shared" si="13"/>
        <v>2.4337449701679059E-2</v>
      </c>
      <c r="E232" s="3">
        <v>1152.79</v>
      </c>
      <c r="F232" s="4">
        <f t="shared" si="14"/>
        <v>1.1637500542793777E-3</v>
      </c>
      <c r="G232" s="4">
        <f t="shared" si="15"/>
        <v>0.15278999999999998</v>
      </c>
      <c r="H232" s="5">
        <f>Summary!$E$12*(1+G232)</f>
        <v>5533392</v>
      </c>
      <c r="I232" s="5">
        <f>Summary!$E$12*(1+D232)</f>
        <v>4916819.7585680597</v>
      </c>
    </row>
    <row r="233" spans="1:9" ht="15" customHeight="1" x14ac:dyDescent="0.25">
      <c r="A233" s="6" t="s">
        <v>240</v>
      </c>
      <c r="B233" s="7">
        <v>23265.439999999999</v>
      </c>
      <c r="C233" s="8">
        <f t="shared" si="12"/>
        <v>4.6786522729291846E-4</v>
      </c>
      <c r="D233" s="8">
        <f t="shared" si="13"/>
        <v>2.4816701575408384E-2</v>
      </c>
      <c r="E233" s="7">
        <v>1155.3</v>
      </c>
      <c r="F233" s="8">
        <f t="shared" si="14"/>
        <v>2.1773263126849685E-3</v>
      </c>
      <c r="G233" s="8">
        <f t="shared" si="15"/>
        <v>0.15529999999999999</v>
      </c>
      <c r="H233" s="9">
        <f>Summary!$E$12*(1+G233)</f>
        <v>5545440</v>
      </c>
      <c r="I233" s="9">
        <f>Summary!$E$12*(1+D233)</f>
        <v>4919120.1675619604</v>
      </c>
    </row>
    <row r="234" spans="1:9" ht="15" customHeight="1" x14ac:dyDescent="0.25">
      <c r="A234" s="2" t="s">
        <v>241</v>
      </c>
      <c r="B234" s="3">
        <v>23248.98</v>
      </c>
      <c r="C234" s="4">
        <f t="shared" si="12"/>
        <v>-7.0748715691593134E-4</v>
      </c>
      <c r="D234" s="4">
        <f t="shared" si="13"/>
        <v>2.409165692085069E-2</v>
      </c>
      <c r="E234" s="3">
        <v>1157.08</v>
      </c>
      <c r="F234" s="4">
        <f t="shared" si="14"/>
        <v>1.5407253527222053E-3</v>
      </c>
      <c r="G234" s="4">
        <f t="shared" si="15"/>
        <v>0.15707999999999989</v>
      </c>
      <c r="H234" s="5">
        <f>Summary!$E$12*(1+G234)</f>
        <v>5553983.9999999991</v>
      </c>
      <c r="I234" s="5">
        <f>Summary!$E$12*(1+D234)</f>
        <v>4915639.9532200834</v>
      </c>
    </row>
    <row r="235" spans="1:9" ht="15" customHeight="1" x14ac:dyDescent="0.25">
      <c r="A235" s="6" t="s">
        <v>242</v>
      </c>
      <c r="B235" s="7">
        <v>23228.53</v>
      </c>
      <c r="C235" s="8">
        <f t="shared" si="12"/>
        <v>-8.7960848174850614E-4</v>
      </c>
      <c r="D235" s="8">
        <f t="shared" si="13"/>
        <v>2.3190857213335248E-2</v>
      </c>
      <c r="E235" s="7">
        <v>1157.8699999999999</v>
      </c>
      <c r="F235" s="8">
        <f t="shared" si="14"/>
        <v>6.8275313720733699E-4</v>
      </c>
      <c r="G235" s="8">
        <f t="shared" si="15"/>
        <v>0.15786999999999995</v>
      </c>
      <c r="H235" s="9">
        <f>Summary!$E$12*(1+G235)</f>
        <v>5557776</v>
      </c>
      <c r="I235" s="9">
        <f>Summary!$E$12*(1+D235)</f>
        <v>4911316.1146240095</v>
      </c>
    </row>
    <row r="236" spans="1:9" ht="15" customHeight="1" x14ac:dyDescent="0.25">
      <c r="A236" s="2" t="s">
        <v>243</v>
      </c>
      <c r="B236" s="3">
        <v>23441.77</v>
      </c>
      <c r="C236" s="4">
        <f t="shared" si="12"/>
        <v>9.1800901735925589E-3</v>
      </c>
      <c r="D236" s="4">
        <f t="shared" si="13"/>
        <v>3.258384154734939E-2</v>
      </c>
      <c r="E236" s="3">
        <v>1161.72</v>
      </c>
      <c r="F236" s="4">
        <f t="shared" si="14"/>
        <v>3.3250710356085289E-3</v>
      </c>
      <c r="G236" s="4">
        <f t="shared" si="15"/>
        <v>0.16172000000000009</v>
      </c>
      <c r="H236" s="5">
        <f>Summary!$E$12*(1+G236)</f>
        <v>5576256</v>
      </c>
      <c r="I236" s="5">
        <f>Summary!$E$12*(1+D236)</f>
        <v>4956402.4394272771</v>
      </c>
    </row>
    <row r="237" spans="1:9" ht="15" customHeight="1" x14ac:dyDescent="0.25">
      <c r="A237" s="6" t="s">
        <v>244</v>
      </c>
      <c r="B237" s="7">
        <v>23405.27</v>
      </c>
      <c r="C237" s="8">
        <f t="shared" si="12"/>
        <v>-1.5570496596459815E-3</v>
      </c>
      <c r="D237" s="8">
        <f t="shared" si="13"/>
        <v>3.0976057228311982E-2</v>
      </c>
      <c r="E237" s="7">
        <v>1165.58</v>
      </c>
      <c r="F237" s="8">
        <f t="shared" si="14"/>
        <v>3.3226595048720942E-3</v>
      </c>
      <c r="G237" s="8">
        <f t="shared" si="15"/>
        <v>0.16557999999999984</v>
      </c>
      <c r="H237" s="9">
        <f>Summary!$E$12*(1+G237)</f>
        <v>5594783.9999999991</v>
      </c>
      <c r="I237" s="9">
        <f>Summary!$E$12*(1+D237)</f>
        <v>4948685.0746958973</v>
      </c>
    </row>
    <row r="238" spans="1:9" ht="15" customHeight="1" x14ac:dyDescent="0.25">
      <c r="A238" s="2" t="s">
        <v>245</v>
      </c>
      <c r="B238" s="3">
        <v>23537.89</v>
      </c>
      <c r="C238" s="4">
        <f t="shared" si="12"/>
        <v>5.666245251603641E-3</v>
      </c>
      <c r="D238" s="4">
        <f t="shared" si="13"/>
        <v>3.6817820417098801E-2</v>
      </c>
      <c r="E238" s="3">
        <v>1168.45</v>
      </c>
      <c r="F238" s="4">
        <f t="shared" si="14"/>
        <v>2.4622934504712202E-3</v>
      </c>
      <c r="G238" s="4">
        <f t="shared" si="15"/>
        <v>0.16844999999999999</v>
      </c>
      <c r="H238" s="5">
        <f>Summary!$E$12*(1+G238)</f>
        <v>5608560</v>
      </c>
      <c r="I238" s="5">
        <f>Summary!$E$12*(1+D238)</f>
        <v>4976725.5380020747</v>
      </c>
    </row>
    <row r="239" spans="1:9" ht="15" customHeight="1" x14ac:dyDescent="0.25">
      <c r="A239" s="6" t="s">
        <v>246</v>
      </c>
      <c r="B239" s="7">
        <v>23664.51</v>
      </c>
      <c r="C239" s="8">
        <f t="shared" si="12"/>
        <v>5.3794116634922062E-3</v>
      </c>
      <c r="D239" s="8">
        <f t="shared" si="13"/>
        <v>4.2395290293167243E-2</v>
      </c>
      <c r="E239" s="7">
        <v>1171.31</v>
      </c>
      <c r="F239" s="8">
        <f t="shared" si="14"/>
        <v>2.4476871068508377E-3</v>
      </c>
      <c r="G239" s="8">
        <f t="shared" si="15"/>
        <v>0.17130999999999985</v>
      </c>
      <c r="H239" s="9">
        <f>Summary!$E$12*(1+G239)</f>
        <v>5622287.9999999991</v>
      </c>
      <c r="I239" s="9">
        <f>Summary!$E$12*(1+D239)</f>
        <v>5003497.3934072023</v>
      </c>
    </row>
    <row r="240" spans="1:9" ht="15" customHeight="1" x14ac:dyDescent="0.25">
      <c r="A240" s="2" t="s">
        <v>247</v>
      </c>
      <c r="B240" s="3">
        <v>23637.65</v>
      </c>
      <c r="C240" s="4">
        <f t="shared" si="12"/>
        <v>-1.1350330093459204E-3</v>
      </c>
      <c r="D240" s="4">
        <f t="shared" si="13"/>
        <v>4.1212137229897916E-2</v>
      </c>
      <c r="E240" s="3">
        <v>1171.8800000000001</v>
      </c>
      <c r="F240" s="4">
        <f t="shared" si="14"/>
        <v>4.8663462277298564E-4</v>
      </c>
      <c r="G240" s="4">
        <f t="shared" si="15"/>
        <v>0.17188000000000003</v>
      </c>
      <c r="H240" s="5">
        <f>Summary!$E$12*(1+G240)</f>
        <v>5625024</v>
      </c>
      <c r="I240" s="5">
        <f>Summary!$E$12*(1+D240)</f>
        <v>4997818.2587035103</v>
      </c>
    </row>
    <row r="241" spans="1:9" ht="15" customHeight="1" x14ac:dyDescent="0.25">
      <c r="A241" s="6" t="s">
        <v>248</v>
      </c>
      <c r="B241" s="7">
        <v>23530</v>
      </c>
      <c r="C241" s="8">
        <f t="shared" si="12"/>
        <v>-4.5541752246945899E-3</v>
      </c>
      <c r="D241" s="8">
        <f t="shared" si="13"/>
        <v>3.6470274710874051E-2</v>
      </c>
      <c r="E241" s="7">
        <v>1172.24</v>
      </c>
      <c r="F241" s="8">
        <f t="shared" si="14"/>
        <v>3.0719868928552607E-4</v>
      </c>
      <c r="G241" s="8">
        <f t="shared" si="15"/>
        <v>0.17223999999999995</v>
      </c>
      <c r="H241" s="9">
        <f>Summary!$E$12*(1+G241)</f>
        <v>5626752</v>
      </c>
      <c r="I241" s="9">
        <f>Summary!$E$12*(1+D241)</f>
        <v>4975057.3186121956</v>
      </c>
    </row>
    <row r="242" spans="1:9" ht="15" customHeight="1" x14ac:dyDescent="0.25">
      <c r="A242" s="2" t="s">
        <v>249</v>
      </c>
      <c r="B242" s="3">
        <v>23608.01</v>
      </c>
      <c r="C242" s="4">
        <f t="shared" si="12"/>
        <v>3.3153421164471286E-3</v>
      </c>
      <c r="D242" s="4">
        <f t="shared" si="13"/>
        <v>3.9906528265068575E-2</v>
      </c>
      <c r="E242" s="3">
        <v>1172.95</v>
      </c>
      <c r="F242" s="4">
        <f t="shared" si="14"/>
        <v>6.0567801815336608E-4</v>
      </c>
      <c r="G242" s="4">
        <f t="shared" si="15"/>
        <v>0.17294999999999994</v>
      </c>
      <c r="H242" s="5">
        <f>Summary!$E$12*(1+G242)</f>
        <v>5630160</v>
      </c>
      <c r="I242" s="5">
        <f>Summary!$E$12*(1+D242)</f>
        <v>4991551.3356723292</v>
      </c>
    </row>
    <row r="243" spans="1:9" ht="15" customHeight="1" x14ac:dyDescent="0.25">
      <c r="A243" s="6" t="s">
        <v>250</v>
      </c>
      <c r="B243" s="7">
        <v>23319.25</v>
      </c>
      <c r="C243" s="8">
        <f t="shared" si="12"/>
        <v>-1.2231441786071717E-2</v>
      </c>
      <c r="D243" s="8">
        <f t="shared" si="13"/>
        <v>2.7186972101638451E-2</v>
      </c>
      <c r="E243" s="7">
        <v>1171.17</v>
      </c>
      <c r="F243" s="8">
        <f t="shared" si="14"/>
        <v>-1.5175412421671863E-3</v>
      </c>
      <c r="G243" s="8">
        <f t="shared" si="15"/>
        <v>0.17117000000000004</v>
      </c>
      <c r="H243" s="9">
        <f>Summary!$E$12*(1+G243)</f>
        <v>5621616</v>
      </c>
      <c r="I243" s="9">
        <f>Summary!$E$12*(1+D243)</f>
        <v>4930497.4660878647</v>
      </c>
    </row>
    <row r="244" spans="1:9" ht="15" customHeight="1" x14ac:dyDescent="0.25">
      <c r="A244" s="2" t="s">
        <v>251</v>
      </c>
      <c r="B244" s="3">
        <v>23288.27</v>
      </c>
      <c r="C244" s="4">
        <f t="shared" si="12"/>
        <v>-1.3285161400988788E-3</v>
      </c>
      <c r="D244" s="4">
        <f t="shared" si="13"/>
        <v>2.5822337630302172E-2</v>
      </c>
      <c r="E244" s="3">
        <v>1174.74</v>
      </c>
      <c r="F244" s="4">
        <f t="shared" si="14"/>
        <v>3.0482338174644408E-3</v>
      </c>
      <c r="G244" s="4">
        <f t="shared" si="15"/>
        <v>0.17474000000000012</v>
      </c>
      <c r="H244" s="5">
        <f>Summary!$E$12*(1+G244)</f>
        <v>5638752.0000000009</v>
      </c>
      <c r="I244" s="5">
        <f>Summary!$E$12*(1+D244)</f>
        <v>4923947.2206254508</v>
      </c>
    </row>
    <row r="245" spans="1:9" ht="15" customHeight="1" x14ac:dyDescent="0.25">
      <c r="A245" s="6" t="s">
        <v>252</v>
      </c>
      <c r="B245" s="7">
        <v>23503.93</v>
      </c>
      <c r="C245" s="8">
        <f t="shared" si="12"/>
        <v>9.2604560149809334E-3</v>
      </c>
      <c r="D245" s="8">
        <f t="shared" si="13"/>
        <v>3.532192026711245E-2</v>
      </c>
      <c r="E245" s="7">
        <v>1179.3399999999999</v>
      </c>
      <c r="F245" s="8">
        <f t="shared" si="14"/>
        <v>3.9157600830821426E-3</v>
      </c>
      <c r="G245" s="8">
        <f t="shared" si="15"/>
        <v>0.17933999999999983</v>
      </c>
      <c r="H245" s="9">
        <f>Summary!$E$12*(1+G245)</f>
        <v>5660831.9999999991</v>
      </c>
      <c r="I245" s="9">
        <f>Summary!$E$12*(1+D245)</f>
        <v>4969545.2172821397</v>
      </c>
    </row>
    <row r="246" spans="1:9" ht="15" customHeight="1" x14ac:dyDescent="0.25">
      <c r="A246" s="2" t="s">
        <v>253</v>
      </c>
      <c r="B246" s="3">
        <v>23469.27</v>
      </c>
      <c r="C246" s="4">
        <f t="shared" si="12"/>
        <v>-1.474647005841101E-3</v>
      </c>
      <c r="D246" s="4">
        <f t="shared" si="13"/>
        <v>3.3795185897308899E-2</v>
      </c>
      <c r="E246" s="3">
        <v>1180.97</v>
      </c>
      <c r="F246" s="4">
        <f t="shared" si="14"/>
        <v>1.3821289873998666E-3</v>
      </c>
      <c r="G246" s="4">
        <f t="shared" si="15"/>
        <v>0.18097000000000008</v>
      </c>
      <c r="H246" s="5">
        <f>Summary!$E$12*(1+G246)</f>
        <v>5668656</v>
      </c>
      <c r="I246" s="5">
        <f>Summary!$E$12*(1+D246)</f>
        <v>4962216.8923070831</v>
      </c>
    </row>
    <row r="247" spans="1:9" ht="15" customHeight="1" x14ac:dyDescent="0.25">
      <c r="A247" s="6" t="s">
        <v>254</v>
      </c>
      <c r="B247" s="7">
        <v>23228.39</v>
      </c>
      <c r="C247" s="8">
        <f t="shared" si="12"/>
        <v>-1.0263634105364239E-2</v>
      </c>
      <c r="D247" s="8">
        <f t="shared" si="13"/>
        <v>2.3184690369371985E-2</v>
      </c>
      <c r="E247" s="7">
        <v>1181.02</v>
      </c>
      <c r="F247" s="8">
        <f t="shared" si="14"/>
        <v>4.2338078020565106E-5</v>
      </c>
      <c r="G247" s="8">
        <f t="shared" si="15"/>
        <v>0.18101999999999996</v>
      </c>
      <c r="H247" s="9">
        <f>Summary!$E$12*(1+G247)</f>
        <v>5668896</v>
      </c>
      <c r="I247" s="9">
        <f>Summary!$E$12*(1+D247)</f>
        <v>4911286.5137729859</v>
      </c>
    </row>
    <row r="248" spans="1:9" ht="15" customHeight="1" x14ac:dyDescent="0.25">
      <c r="A248" s="2" t="s">
        <v>255</v>
      </c>
      <c r="B248" s="3">
        <v>23425.759999999998</v>
      </c>
      <c r="C248" s="4">
        <f t="shared" si="12"/>
        <v>8.4969298345687339E-3</v>
      </c>
      <c r="D248" s="4">
        <f t="shared" si="13"/>
        <v>3.1878618891245436E-2</v>
      </c>
      <c r="E248" s="3">
        <v>1186.33</v>
      </c>
      <c r="F248" s="4">
        <f t="shared" si="14"/>
        <v>4.4961135289833809E-3</v>
      </c>
      <c r="G248" s="4">
        <f t="shared" si="15"/>
        <v>0.18632999999999988</v>
      </c>
      <c r="H248" s="5">
        <f>Summary!$E$12*(1+G248)</f>
        <v>5694383.9999999991</v>
      </c>
      <c r="I248" s="5">
        <f>Summary!$E$12*(1+D248)</f>
        <v>4953017.3706779778</v>
      </c>
    </row>
    <row r="249" spans="1:9" ht="15" customHeight="1" x14ac:dyDescent="0.25">
      <c r="A249" s="6" t="s">
        <v>256</v>
      </c>
      <c r="B249" s="7">
        <v>23294.82</v>
      </c>
      <c r="C249" s="8">
        <f t="shared" si="12"/>
        <v>-5.58957318780684E-3</v>
      </c>
      <c r="D249" s="8">
        <f t="shared" si="13"/>
        <v>2.6110857830019762E-2</v>
      </c>
      <c r="E249" s="7">
        <v>1186.95</v>
      </c>
      <c r="F249" s="8">
        <f t="shared" si="14"/>
        <v>5.2262018156845613E-4</v>
      </c>
      <c r="G249" s="8">
        <f t="shared" si="15"/>
        <v>0.18694999999999995</v>
      </c>
      <c r="H249" s="9">
        <f>Summary!$E$12*(1+G249)</f>
        <v>5697360</v>
      </c>
      <c r="I249" s="9">
        <f>Summary!$E$12*(1+D249)</f>
        <v>4925332.1175840944</v>
      </c>
    </row>
    <row r="250" spans="1:9" ht="15" customHeight="1" x14ac:dyDescent="0.25">
      <c r="A250" s="2" t="s">
        <v>257</v>
      </c>
      <c r="B250" s="3">
        <v>23547.87</v>
      </c>
      <c r="C250" s="4">
        <f t="shared" si="12"/>
        <v>1.0862930041957819E-2</v>
      </c>
      <c r="D250" s="4">
        <f t="shared" si="13"/>
        <v>3.7257428293920647E-2</v>
      </c>
      <c r="E250" s="3">
        <v>1193.05</v>
      </c>
      <c r="F250" s="4">
        <f t="shared" si="14"/>
        <v>5.1392223766797418E-3</v>
      </c>
      <c r="G250" s="4">
        <f t="shared" si="15"/>
        <v>0.19304999999999994</v>
      </c>
      <c r="H250" s="5">
        <f>Summary!$E$12*(1+G250)</f>
        <v>5726640</v>
      </c>
      <c r="I250" s="5">
        <f>Summary!$E$12*(1+D250)</f>
        <v>4978835.655810819</v>
      </c>
    </row>
    <row r="251" spans="1:9" ht="15" customHeight="1" x14ac:dyDescent="0.25">
      <c r="A251" s="6" t="s">
        <v>258</v>
      </c>
      <c r="B251" s="7">
        <v>23600.06</v>
      </c>
      <c r="C251" s="8">
        <f t="shared" si="12"/>
        <v>2.2163363395502067E-3</v>
      </c>
      <c r="D251" s="8">
        <f t="shared" si="13"/>
        <v>3.9556339625716808E-2</v>
      </c>
      <c r="E251" s="7">
        <v>1196.04</v>
      </c>
      <c r="F251" s="8">
        <f t="shared" si="14"/>
        <v>2.5061816353044719E-3</v>
      </c>
      <c r="G251" s="8">
        <f t="shared" si="15"/>
        <v>0.19603999999999999</v>
      </c>
      <c r="H251" s="9">
        <f>Summary!$E$12*(1+G251)</f>
        <v>5740992</v>
      </c>
      <c r="I251" s="9">
        <f>Summary!$E$12*(1+D251)</f>
        <v>4989870.4302034406</v>
      </c>
    </row>
    <row r="252" spans="1:9" ht="15" customHeight="1" x14ac:dyDescent="0.25">
      <c r="A252" s="2" t="s">
        <v>259</v>
      </c>
      <c r="B252" s="3">
        <v>23467.72</v>
      </c>
      <c r="C252" s="4">
        <f t="shared" si="12"/>
        <v>-5.6076128620011767E-3</v>
      </c>
      <c r="D252" s="4">
        <f t="shared" si="13"/>
        <v>3.3726910124856735E-2</v>
      </c>
      <c r="E252" s="3">
        <v>1196.2</v>
      </c>
      <c r="F252" s="4">
        <f t="shared" si="14"/>
        <v>1.3377479014087257E-4</v>
      </c>
      <c r="G252" s="4">
        <f t="shared" si="15"/>
        <v>0.19620000000000015</v>
      </c>
      <c r="H252" s="5">
        <f>Summary!$E$12*(1+G252)</f>
        <v>5741760.0000000009</v>
      </c>
      <c r="I252" s="5">
        <f>Summary!$E$12*(1+D252)</f>
        <v>4961889.1685993122</v>
      </c>
    </row>
    <row r="253" spans="1:9" ht="15" customHeight="1" x14ac:dyDescent="0.25">
      <c r="A253" s="6" t="s">
        <v>260</v>
      </c>
      <c r="B253" s="7">
        <v>23424.5</v>
      </c>
      <c r="C253" s="8">
        <f t="shared" si="12"/>
        <v>-1.8416786973767252E-3</v>
      </c>
      <c r="D253" s="8">
        <f t="shared" si="13"/>
        <v>3.1823117295574743E-2</v>
      </c>
      <c r="E253" s="7">
        <v>1198.93</v>
      </c>
      <c r="F253" s="8">
        <f t="shared" si="14"/>
        <v>2.2822270523323862E-3</v>
      </c>
      <c r="G253" s="8">
        <f t="shared" si="15"/>
        <v>0.19893000000000005</v>
      </c>
      <c r="H253" s="9">
        <f>Summary!$E$12*(1+G253)</f>
        <v>5754864</v>
      </c>
      <c r="I253" s="9">
        <f>Summary!$E$12*(1+D253)</f>
        <v>4952750.9630187592</v>
      </c>
    </row>
    <row r="254" spans="1:9" ht="15" customHeight="1" x14ac:dyDescent="0.25">
      <c r="A254" s="2" t="s">
        <v>261</v>
      </c>
      <c r="B254" s="3">
        <v>23709.89</v>
      </c>
      <c r="C254" s="4">
        <f t="shared" si="12"/>
        <v>1.2183397724604639E-2</v>
      </c>
      <c r="D254" s="4">
        <f t="shared" si="13"/>
        <v>4.439422871502785E-2</v>
      </c>
      <c r="E254" s="3">
        <v>1200.6300000000001</v>
      </c>
      <c r="F254" s="4">
        <f t="shared" si="14"/>
        <v>1.4179309884647662E-3</v>
      </c>
      <c r="G254" s="4">
        <f t="shared" si="15"/>
        <v>0.20063000000000009</v>
      </c>
      <c r="H254" s="5">
        <f>Summary!$E$12*(1+G254)</f>
        <v>5763024</v>
      </c>
      <c r="I254" s="5">
        <f>Summary!$E$12*(1+D254)</f>
        <v>5013092.2978321332</v>
      </c>
    </row>
    <row r="255" spans="1:9" ht="15" customHeight="1" x14ac:dyDescent="0.25">
      <c r="A255" s="6" t="s">
        <v>262</v>
      </c>
      <c r="B255" s="7">
        <v>23794.69</v>
      </c>
      <c r="C255" s="8">
        <f t="shared" si="12"/>
        <v>3.5765665720084439E-3</v>
      </c>
      <c r="D255" s="8">
        <f t="shared" si="13"/>
        <v>4.8129574201448699E-2</v>
      </c>
      <c r="E255" s="7">
        <v>1202.19</v>
      </c>
      <c r="F255" s="8">
        <f t="shared" si="14"/>
        <v>1.2993178581244269E-3</v>
      </c>
      <c r="G255" s="8">
        <f t="shared" si="15"/>
        <v>0.20219000000000009</v>
      </c>
      <c r="H255" s="9">
        <f>Summary!$E$12*(1+G255)</f>
        <v>5770512</v>
      </c>
      <c r="I255" s="9">
        <f>Summary!$E$12*(1+D255)</f>
        <v>5031021.9561669538</v>
      </c>
    </row>
    <row r="256" spans="1:9" ht="15" customHeight="1" x14ac:dyDescent="0.25">
      <c r="A256" s="2" t="s">
        <v>263</v>
      </c>
      <c r="B256" s="3">
        <v>23839.99</v>
      </c>
      <c r="C256" s="4">
        <f t="shared" si="12"/>
        <v>1.9037860968140752E-3</v>
      </c>
      <c r="D256" s="4">
        <f t="shared" si="13"/>
        <v>5.0124988712473284E-2</v>
      </c>
      <c r="E256" s="3">
        <v>1204.26</v>
      </c>
      <c r="F256" s="4">
        <f t="shared" si="14"/>
        <v>1.7218576098618765E-3</v>
      </c>
      <c r="G256" s="4">
        <f t="shared" si="15"/>
        <v>0.20425999999999989</v>
      </c>
      <c r="H256" s="5">
        <f>Summary!$E$12*(1+G256)</f>
        <v>5780447.9999999991</v>
      </c>
      <c r="I256" s="5">
        <f>Summary!$E$12*(1+D256)</f>
        <v>5040599.9458198715</v>
      </c>
    </row>
    <row r="257" spans="1:9" ht="15" customHeight="1" x14ac:dyDescent="0.25">
      <c r="A257" s="6" t="s">
        <v>264</v>
      </c>
      <c r="B257" s="7">
        <v>23921.39</v>
      </c>
      <c r="C257" s="8">
        <f t="shared" si="12"/>
        <v>3.4144309624291047E-3</v>
      </c>
      <c r="D257" s="8">
        <f t="shared" si="13"/>
        <v>5.3710567988353386E-2</v>
      </c>
      <c r="E257" s="7">
        <v>1205.43</v>
      </c>
      <c r="F257" s="8">
        <f t="shared" si="14"/>
        <v>9.7155099397139288E-4</v>
      </c>
      <c r="G257" s="8">
        <f t="shared" si="15"/>
        <v>0.20543</v>
      </c>
      <c r="H257" s="9">
        <f>Summary!$E$12*(1+G257)</f>
        <v>5786064</v>
      </c>
      <c r="I257" s="9">
        <f>Summary!$E$12*(1+D257)</f>
        <v>5057810.7263440965</v>
      </c>
    </row>
    <row r="258" spans="1:9" ht="15" customHeight="1" x14ac:dyDescent="0.25">
      <c r="A258" s="2" t="s">
        <v>265</v>
      </c>
      <c r="B258" s="3">
        <v>23953.75</v>
      </c>
      <c r="C258" s="4">
        <f t="shared" si="12"/>
        <v>1.352764199739287E-3</v>
      </c>
      <c r="D258" s="4">
        <f t="shared" si="13"/>
        <v>5.5135989921615058E-2</v>
      </c>
      <c r="E258" s="3">
        <v>1206.9100000000001</v>
      </c>
      <c r="F258" s="4">
        <f t="shared" si="14"/>
        <v>1.2277776395146489E-3</v>
      </c>
      <c r="G258" s="4">
        <f t="shared" si="15"/>
        <v>0.20691000000000015</v>
      </c>
      <c r="H258" s="5">
        <f>Summary!$E$12*(1+G258)</f>
        <v>5793168.0000000009</v>
      </c>
      <c r="I258" s="5">
        <f>Summary!$E$12*(1+D258)</f>
        <v>5064652.7516237525</v>
      </c>
    </row>
    <row r="259" spans="1:9" ht="15" customHeight="1" x14ac:dyDescent="0.25">
      <c r="A259" s="6" t="s">
        <v>266</v>
      </c>
      <c r="B259" s="7">
        <v>23916</v>
      </c>
      <c r="C259" s="8">
        <f t="shared" ref="C259:C322" si="16">B259/B258-1</f>
        <v>-1.5759536607002911E-3</v>
      </c>
      <c r="D259" s="8">
        <f t="shared" ref="D259:D322" si="17">B259/$B$2-1</f>
        <v>5.347314449576146E-2</v>
      </c>
      <c r="E259" s="7">
        <v>1207.17</v>
      </c>
      <c r="F259" s="8">
        <f t="shared" ref="F259:F322" si="18">E259/E258-1</f>
        <v>2.1542617096548256E-4</v>
      </c>
      <c r="G259" s="8">
        <f t="shared" ref="G259:G322" si="19">E259/$E$2-1</f>
        <v>0.20717000000000008</v>
      </c>
      <c r="H259" s="9">
        <f>Summary!$E$12*(1+G259)</f>
        <v>5794416</v>
      </c>
      <c r="I259" s="9">
        <f>Summary!$E$12*(1+D259)</f>
        <v>5056671.0935796546</v>
      </c>
    </row>
    <row r="260" spans="1:9" ht="15" customHeight="1" x14ac:dyDescent="0.25">
      <c r="A260" s="2" t="s">
        <v>267</v>
      </c>
      <c r="B260" s="3">
        <v>24066.880000000001</v>
      </c>
      <c r="C260" s="4">
        <f t="shared" si="16"/>
        <v>6.3087472821543589E-3</v>
      </c>
      <c r="D260" s="4">
        <f t="shared" si="17"/>
        <v>6.0119240332921597E-2</v>
      </c>
      <c r="E260" s="3">
        <v>1209.31</v>
      </c>
      <c r="F260" s="4">
        <f t="shared" si="18"/>
        <v>1.7727412046355528E-3</v>
      </c>
      <c r="G260" s="4">
        <f t="shared" si="19"/>
        <v>0.20930999999999989</v>
      </c>
      <c r="H260" s="5">
        <f>Summary!$E$12*(1+G260)</f>
        <v>5804687.9999999991</v>
      </c>
      <c r="I260" s="5">
        <f>Summary!$E$12*(1+D260)</f>
        <v>5088572.3535980238</v>
      </c>
    </row>
    <row r="261" spans="1:9" ht="15" customHeight="1" x14ac:dyDescent="0.25">
      <c r="A261" s="6" t="s">
        <v>268</v>
      </c>
      <c r="B261" s="7">
        <v>24346.07</v>
      </c>
      <c r="C261" s="8">
        <f t="shared" si="16"/>
        <v>1.1600589690063723E-2</v>
      </c>
      <c r="D261" s="8">
        <f t="shared" si="17"/>
        <v>7.2417248662565825E-2</v>
      </c>
      <c r="E261" s="7">
        <v>1216.4000000000001</v>
      </c>
      <c r="F261" s="8">
        <f t="shared" si="18"/>
        <v>5.8628474088531224E-3</v>
      </c>
      <c r="G261" s="8">
        <f t="shared" si="19"/>
        <v>0.21640000000000015</v>
      </c>
      <c r="H261" s="9">
        <f>Summary!$E$12*(1+G261)</f>
        <v>5838720.0000000009</v>
      </c>
      <c r="I261" s="9">
        <f>Summary!$E$12*(1+D261)</f>
        <v>5147602.793580316</v>
      </c>
    </row>
    <row r="262" spans="1:9" ht="15" customHeight="1" x14ac:dyDescent="0.25">
      <c r="A262" s="2" t="s">
        <v>269</v>
      </c>
      <c r="B262" s="3">
        <v>24418.400000000001</v>
      </c>
      <c r="C262" s="4">
        <f t="shared" si="16"/>
        <v>2.9709107055060358E-3</v>
      </c>
      <c r="D262" s="4">
        <f t="shared" si="17"/>
        <v>7.5603304547386729E-2</v>
      </c>
      <c r="E262" s="3">
        <v>1219.1600000000001</v>
      </c>
      <c r="F262" s="4">
        <f t="shared" si="18"/>
        <v>2.2689904636632452E-3</v>
      </c>
      <c r="G262" s="4">
        <f t="shared" si="19"/>
        <v>0.21916000000000002</v>
      </c>
      <c r="H262" s="5">
        <f>Summary!$E$12*(1+G262)</f>
        <v>5851968</v>
      </c>
      <c r="I262" s="5">
        <f>Summary!$E$12*(1+D262)</f>
        <v>5162895.8618274564</v>
      </c>
    </row>
    <row r="263" spans="1:9" ht="15" customHeight="1" x14ac:dyDescent="0.25">
      <c r="A263" s="6" t="s">
        <v>270</v>
      </c>
      <c r="B263" s="7">
        <v>24399.9</v>
      </c>
      <c r="C263" s="8">
        <f t="shared" si="16"/>
        <v>-7.5762539724144595E-4</v>
      </c>
      <c r="D263" s="8">
        <f t="shared" si="17"/>
        <v>7.4788400166504898E-2</v>
      </c>
      <c r="E263" s="7">
        <v>1220.26</v>
      </c>
      <c r="F263" s="8">
        <f t="shared" si="18"/>
        <v>9.0226057285347494E-4</v>
      </c>
      <c r="G263" s="8">
        <f t="shared" si="19"/>
        <v>0.2202599999999999</v>
      </c>
      <c r="H263" s="9">
        <f>Summary!$E$12*(1+G263)</f>
        <v>5857247.9999999991</v>
      </c>
      <c r="I263" s="9">
        <f>Summary!$E$12*(1+D263)</f>
        <v>5158984.3207992231</v>
      </c>
    </row>
    <row r="264" spans="1:9" ht="15" customHeight="1" x14ac:dyDescent="0.25">
      <c r="A264" s="2" t="s">
        <v>271</v>
      </c>
      <c r="B264" s="3">
        <v>24702.86</v>
      </c>
      <c r="C264" s="4">
        <f t="shared" si="16"/>
        <v>1.2416444329689913E-2</v>
      </c>
      <c r="D264" s="4">
        <f t="shared" si="17"/>
        <v>8.8133450503368627E-2</v>
      </c>
      <c r="E264" s="3">
        <v>1226.08</v>
      </c>
      <c r="F264" s="4">
        <f t="shared" si="18"/>
        <v>4.7694753577105509E-3</v>
      </c>
      <c r="G264" s="4">
        <f t="shared" si="19"/>
        <v>0.22607999999999984</v>
      </c>
      <c r="H264" s="5">
        <f>Summary!$E$12*(1+G264)</f>
        <v>5885183.9999999991</v>
      </c>
      <c r="I264" s="5">
        <f>Summary!$E$12*(1+D264)</f>
        <v>5223040.5624161698</v>
      </c>
    </row>
    <row r="265" spans="1:9" ht="15" customHeight="1" x14ac:dyDescent="0.25">
      <c r="A265" s="6" t="s">
        <v>272</v>
      </c>
      <c r="B265" s="7">
        <v>24935.98</v>
      </c>
      <c r="C265" s="8">
        <f t="shared" si="16"/>
        <v>9.4369639790696791E-3</v>
      </c>
      <c r="D265" s="8">
        <f t="shared" si="17"/>
        <v>9.8402126680189772E-2</v>
      </c>
      <c r="E265" s="7">
        <v>1229.48</v>
      </c>
      <c r="F265" s="8">
        <f t="shared" si="18"/>
        <v>2.773065379094497E-3</v>
      </c>
      <c r="G265" s="8">
        <f t="shared" si="19"/>
        <v>0.22948000000000013</v>
      </c>
      <c r="H265" s="9">
        <f>Summary!$E$12*(1+G265)</f>
        <v>5901504.0000000009</v>
      </c>
      <c r="I265" s="9">
        <f>Summary!$E$12*(1+D265)</f>
        <v>5272330.208064911</v>
      </c>
    </row>
    <row r="266" spans="1:9" ht="15" customHeight="1" x14ac:dyDescent="0.25">
      <c r="A266" s="2" t="s">
        <v>273</v>
      </c>
      <c r="B266" s="3">
        <v>24764.400000000001</v>
      </c>
      <c r="C266" s="4">
        <f t="shared" si="16"/>
        <v>-6.8808204048927957E-3</v>
      </c>
      <c r="D266" s="4">
        <f t="shared" si="17"/>
        <v>9.0844218914150954E-2</v>
      </c>
      <c r="E266" s="3">
        <v>1230.1199999999999</v>
      </c>
      <c r="F266" s="4">
        <f t="shared" si="18"/>
        <v>5.2054527117140204E-4</v>
      </c>
      <c r="G266" s="4">
        <f t="shared" si="19"/>
        <v>0.23011999999999988</v>
      </c>
      <c r="H266" s="5">
        <f>Summary!$E$12*(1+G266)</f>
        <v>5904575.9999999991</v>
      </c>
      <c r="I266" s="5">
        <f>Summary!$E$12*(1+D266)</f>
        <v>5236052.250787925</v>
      </c>
    </row>
    <row r="267" spans="1:9" ht="15" customHeight="1" x14ac:dyDescent="0.25">
      <c r="A267" s="6" t="s">
        <v>274</v>
      </c>
      <c r="B267" s="7">
        <v>24935.08</v>
      </c>
      <c r="C267" s="8">
        <f t="shared" si="16"/>
        <v>6.8921516370272773E-3</v>
      </c>
      <c r="D267" s="8">
        <f t="shared" si="17"/>
        <v>9.8362482683282071E-2</v>
      </c>
      <c r="E267" s="7">
        <v>1233.57</v>
      </c>
      <c r="F267" s="8">
        <f t="shared" si="18"/>
        <v>2.8046044288363436E-3</v>
      </c>
      <c r="G267" s="8">
        <f t="shared" si="19"/>
        <v>0.23356999999999983</v>
      </c>
      <c r="H267" s="9">
        <f>Summary!$E$12*(1+G267)</f>
        <v>5921135.9999999991</v>
      </c>
      <c r="I267" s="9">
        <f>Summary!$E$12*(1+D267)</f>
        <v>5272139.9168797536</v>
      </c>
    </row>
    <row r="268" spans="1:9" ht="15" customHeight="1" x14ac:dyDescent="0.25">
      <c r="A268" s="2" t="s">
        <v>275</v>
      </c>
      <c r="B268" s="3">
        <v>25205.97</v>
      </c>
      <c r="C268" s="4">
        <f t="shared" si="16"/>
        <v>1.0863811144780744E-2</v>
      </c>
      <c r="D268" s="4">
        <f t="shared" si="17"/>
        <v>0.1102948852636656</v>
      </c>
      <c r="E268" s="3">
        <v>1239.4100000000001</v>
      </c>
      <c r="F268" s="4">
        <f t="shared" si="18"/>
        <v>4.7342266754217821E-3</v>
      </c>
      <c r="G268" s="4">
        <f t="shared" si="19"/>
        <v>0.23941000000000012</v>
      </c>
      <c r="H268" s="5">
        <f>Summary!$E$12*(1+G268)</f>
        <v>5949168.0000000009</v>
      </c>
      <c r="I268" s="5">
        <f>Summary!$E$12*(1+D268)</f>
        <v>5329415.4492655946</v>
      </c>
    </row>
    <row r="269" spans="1:9" ht="15" customHeight="1" x14ac:dyDescent="0.25">
      <c r="A269" s="6" t="s">
        <v>276</v>
      </c>
      <c r="B269" s="7">
        <v>24954.98</v>
      </c>
      <c r="C269" s="8">
        <f t="shared" si="16"/>
        <v>-9.9575616411509138E-3</v>
      </c>
      <c r="D269" s="8">
        <f t="shared" si="17"/>
        <v>9.9239055503798079E-2</v>
      </c>
      <c r="E269" s="7">
        <v>1236.73</v>
      </c>
      <c r="F269" s="8">
        <f t="shared" si="18"/>
        <v>-2.1623191679912557E-3</v>
      </c>
      <c r="G269" s="8">
        <f t="shared" si="19"/>
        <v>0.23673000000000011</v>
      </c>
      <c r="H269" s="9">
        <f>Summary!$E$12*(1+G269)</f>
        <v>5936304.0000000009</v>
      </c>
      <c r="I269" s="9">
        <f>Summary!$E$12*(1+D269)</f>
        <v>5276347.4664182309</v>
      </c>
    </row>
    <row r="270" spans="1:9" ht="15" customHeight="1" x14ac:dyDescent="0.25">
      <c r="A270" s="2" t="s">
        <v>277</v>
      </c>
      <c r="B270" s="3">
        <v>24930.04</v>
      </c>
      <c r="C270" s="4">
        <f t="shared" si="16"/>
        <v>-9.993997190139714E-4</v>
      </c>
      <c r="D270" s="4">
        <f t="shared" si="17"/>
        <v>9.8140476300598412E-2</v>
      </c>
      <c r="E270" s="3">
        <v>1238.7</v>
      </c>
      <c r="F270" s="4">
        <f t="shared" si="18"/>
        <v>1.5929103361282948E-3</v>
      </c>
      <c r="G270" s="4">
        <f t="shared" si="19"/>
        <v>0.23870000000000013</v>
      </c>
      <c r="H270" s="5">
        <f>Summary!$E$12*(1+G270)</f>
        <v>5945760.0000000009</v>
      </c>
      <c r="I270" s="5">
        <f>Summary!$E$12*(1+D270)</f>
        <v>5271074.2862428725</v>
      </c>
    </row>
    <row r="271" spans="1:9" ht="15" customHeight="1" x14ac:dyDescent="0.25">
      <c r="A271" s="6" t="s">
        <v>278</v>
      </c>
      <c r="B271" s="7">
        <v>25063.360000000001</v>
      </c>
      <c r="C271" s="8">
        <f t="shared" si="16"/>
        <v>5.3477651860966979E-3</v>
      </c>
      <c r="D271" s="8">
        <f t="shared" si="17"/>
        <v>0.10401307370920243</v>
      </c>
      <c r="E271" s="7">
        <v>1241.52</v>
      </c>
      <c r="F271" s="8">
        <f t="shared" si="18"/>
        <v>2.2765802857833695E-3</v>
      </c>
      <c r="G271" s="8">
        <f t="shared" si="19"/>
        <v>0.24151999999999996</v>
      </c>
      <c r="H271" s="9">
        <f>Summary!$E$12*(1+G271)</f>
        <v>5959296</v>
      </c>
      <c r="I271" s="9">
        <f>Summary!$E$12*(1+D271)</f>
        <v>5299262.7538041715</v>
      </c>
    </row>
    <row r="272" spans="1:9" ht="15" customHeight="1" x14ac:dyDescent="0.25">
      <c r="A272" s="2" t="s">
        <v>279</v>
      </c>
      <c r="B272" s="3">
        <v>24987.19</v>
      </c>
      <c r="C272" s="4">
        <f t="shared" si="16"/>
        <v>-3.0390977107619399E-3</v>
      </c>
      <c r="D272" s="4">
        <f t="shared" si="17"/>
        <v>0.10065787010424176</v>
      </c>
      <c r="E272" s="3">
        <v>1240.8399999999999</v>
      </c>
      <c r="F272" s="4">
        <f t="shared" si="18"/>
        <v>-5.4771570333145281E-4</v>
      </c>
      <c r="G272" s="4">
        <f t="shared" si="19"/>
        <v>0.24083999999999994</v>
      </c>
      <c r="H272" s="5">
        <f>Summary!$E$12*(1+G272)</f>
        <v>5956032</v>
      </c>
      <c r="I272" s="5">
        <f>Summary!$E$12*(1+D272)</f>
        <v>5283157.7765003601</v>
      </c>
    </row>
    <row r="273" spans="1:9" ht="15" customHeight="1" x14ac:dyDescent="0.25">
      <c r="A273" s="6" t="s">
        <v>280</v>
      </c>
      <c r="B273" s="7">
        <v>25048.12</v>
      </c>
      <c r="C273" s="8">
        <f t="shared" si="16"/>
        <v>2.4384494615041774E-3</v>
      </c>
      <c r="D273" s="8">
        <f t="shared" si="17"/>
        <v>0.10334176869489764</v>
      </c>
      <c r="E273" s="7">
        <v>1244.01</v>
      </c>
      <c r="F273" s="8">
        <f t="shared" si="18"/>
        <v>2.55472099545484E-3</v>
      </c>
      <c r="G273" s="8">
        <f t="shared" si="19"/>
        <v>0.24401000000000006</v>
      </c>
      <c r="H273" s="9">
        <f>Summary!$E$12*(1+G273)</f>
        <v>5971248</v>
      </c>
      <c r="I273" s="9">
        <f>Summary!$E$12*(1+D273)</f>
        <v>5296040.4897355083</v>
      </c>
    </row>
    <row r="274" spans="1:9" ht="15" customHeight="1" x14ac:dyDescent="0.25">
      <c r="A274" s="2" t="s">
        <v>281</v>
      </c>
      <c r="B274" s="3">
        <v>25056.05</v>
      </c>
      <c r="C274" s="4">
        <f t="shared" si="16"/>
        <v>3.1659062636246738E-4</v>
      </c>
      <c r="D274" s="4">
        <f t="shared" si="17"/>
        <v>0.1036910763565404</v>
      </c>
      <c r="E274" s="3">
        <v>1244.48</v>
      </c>
      <c r="F274" s="4">
        <f t="shared" si="18"/>
        <v>3.7781046776164118E-4</v>
      </c>
      <c r="G274" s="4">
        <f t="shared" si="19"/>
        <v>0.24448000000000003</v>
      </c>
      <c r="H274" s="5">
        <f>Summary!$E$12*(1+G274)</f>
        <v>5973504</v>
      </c>
      <c r="I274" s="5">
        <f>Summary!$E$12*(1+D274)</f>
        <v>5297717.1665113941</v>
      </c>
    </row>
    <row r="275" spans="1:9" ht="15" customHeight="1" x14ac:dyDescent="0.25">
      <c r="A275" s="6" t="s">
        <v>282</v>
      </c>
      <c r="B275" s="7">
        <v>24965.03</v>
      </c>
      <c r="C275" s="8">
        <f t="shared" si="16"/>
        <v>-3.6326555861757592E-3</v>
      </c>
      <c r="D275" s="8">
        <f t="shared" si="17"/>
        <v>9.9681746802601445E-2</v>
      </c>
      <c r="E275" s="7">
        <v>1246.76</v>
      </c>
      <c r="F275" s="8">
        <f t="shared" si="18"/>
        <v>1.8320905116997466E-3</v>
      </c>
      <c r="G275" s="8">
        <f t="shared" si="19"/>
        <v>0.24676000000000009</v>
      </c>
      <c r="H275" s="9">
        <f>Summary!$E$12*(1+G275)</f>
        <v>5984448</v>
      </c>
      <c r="I275" s="9">
        <f>Summary!$E$12*(1+D275)</f>
        <v>5278472.384652487</v>
      </c>
    </row>
    <row r="276" spans="1:9" ht="15" customHeight="1" x14ac:dyDescent="0.25">
      <c r="A276" s="2" t="s">
        <v>283</v>
      </c>
      <c r="B276" s="3">
        <v>24995.63</v>
      </c>
      <c r="C276" s="4">
        <f t="shared" si="16"/>
        <v>1.2257145294838345E-3</v>
      </c>
      <c r="D276" s="4">
        <f t="shared" si="17"/>
        <v>0.10102964269746573</v>
      </c>
      <c r="E276" s="3">
        <v>1249.02</v>
      </c>
      <c r="F276" s="4">
        <f t="shared" si="18"/>
        <v>1.8126985145496821E-3</v>
      </c>
      <c r="G276" s="4">
        <f t="shared" si="19"/>
        <v>0.24902000000000002</v>
      </c>
      <c r="H276" s="5">
        <f>Summary!$E$12*(1+G276)</f>
        <v>5995296</v>
      </c>
      <c r="I276" s="5">
        <f>Summary!$E$12*(1+D276)</f>
        <v>5284942.2849478358</v>
      </c>
    </row>
    <row r="277" spans="1:9" ht="15" customHeight="1" x14ac:dyDescent="0.25">
      <c r="A277" s="6" t="s">
        <v>284</v>
      </c>
      <c r="B277" s="7">
        <v>24979.64</v>
      </c>
      <c r="C277" s="8">
        <f t="shared" si="16"/>
        <v>-6.3971182162647633E-4</v>
      </c>
      <c r="D277" s="8">
        <f t="shared" si="17"/>
        <v>0.100325301019071</v>
      </c>
      <c r="E277" s="7">
        <v>1251.02</v>
      </c>
      <c r="F277" s="8">
        <f t="shared" si="18"/>
        <v>1.6012553842212895E-3</v>
      </c>
      <c r="G277" s="8">
        <f t="shared" si="19"/>
        <v>0.25102000000000002</v>
      </c>
      <c r="H277" s="9">
        <f>Summary!$E$12*(1+G277)</f>
        <v>6004896</v>
      </c>
      <c r="I277" s="9">
        <f>Summary!$E$12*(1+D277)</f>
        <v>5281561.4448915413</v>
      </c>
    </row>
    <row r="278" spans="1:9" ht="15" customHeight="1" x14ac:dyDescent="0.25">
      <c r="A278" s="2" t="s">
        <v>285</v>
      </c>
      <c r="B278" s="3">
        <v>25019.18</v>
      </c>
      <c r="C278" s="4">
        <f t="shared" si="16"/>
        <v>1.5828891048870197E-3</v>
      </c>
      <c r="D278" s="4">
        <f t="shared" si="17"/>
        <v>0.10206699394988572</v>
      </c>
      <c r="E278" s="3">
        <v>1252.8900000000001</v>
      </c>
      <c r="F278" s="4">
        <f t="shared" si="18"/>
        <v>1.4947802593086035E-3</v>
      </c>
      <c r="G278" s="4">
        <f t="shared" si="19"/>
        <v>0.25289000000000006</v>
      </c>
      <c r="H278" s="5">
        <f>Summary!$E$12*(1+G278)</f>
        <v>6013872</v>
      </c>
      <c r="I278" s="5">
        <f>Summary!$E$12*(1+D278)</f>
        <v>5289921.5709594516</v>
      </c>
    </row>
    <row r="279" spans="1:9" ht="15" customHeight="1" x14ac:dyDescent="0.25">
      <c r="A279" s="6" t="s">
        <v>286</v>
      </c>
      <c r="B279" s="7">
        <v>25059.919999999998</v>
      </c>
      <c r="C279" s="8">
        <f t="shared" si="16"/>
        <v>1.628350729320438E-3</v>
      </c>
      <c r="D279" s="8">
        <f t="shared" si="17"/>
        <v>0.10386154554324389</v>
      </c>
      <c r="E279" s="7">
        <v>1255.7</v>
      </c>
      <c r="F279" s="8">
        <f t="shared" si="18"/>
        <v>2.2428146126156623E-3</v>
      </c>
      <c r="G279" s="8">
        <f t="shared" si="19"/>
        <v>0.25570000000000004</v>
      </c>
      <c r="H279" s="9">
        <f>Summary!$E$12*(1+G279)</f>
        <v>6027360</v>
      </c>
      <c r="I279" s="9">
        <f>Summary!$E$12*(1+D279)</f>
        <v>5298535.4186075702</v>
      </c>
    </row>
    <row r="280" spans="1:9" ht="15" customHeight="1" x14ac:dyDescent="0.25">
      <c r="A280" s="2" t="s">
        <v>287</v>
      </c>
      <c r="B280" s="3">
        <v>24998.87</v>
      </c>
      <c r="C280" s="4">
        <f t="shared" si="16"/>
        <v>-2.436161009292892E-3</v>
      </c>
      <c r="D280" s="4">
        <f t="shared" si="17"/>
        <v>0.10117236108633354</v>
      </c>
      <c r="E280" s="3">
        <v>1254.3599999999999</v>
      </c>
      <c r="F280" s="4">
        <f t="shared" si="18"/>
        <v>-1.067133869554926E-3</v>
      </c>
      <c r="G280" s="4">
        <f t="shared" si="19"/>
        <v>0.25435999999999992</v>
      </c>
      <c r="H280" s="5">
        <f>Summary!$E$12*(1+G280)</f>
        <v>6020928</v>
      </c>
      <c r="I280" s="5">
        <f>Summary!$E$12*(1+D280)</f>
        <v>5285627.3332144013</v>
      </c>
    </row>
    <row r="281" spans="1:9" ht="15" customHeight="1" x14ac:dyDescent="0.25">
      <c r="A281" s="6" t="s">
        <v>288</v>
      </c>
      <c r="B281" s="7">
        <v>24918.65</v>
      </c>
      <c r="C281" s="8">
        <f t="shared" si="16"/>
        <v>-3.2089450443159029E-3</v>
      </c>
      <c r="D281" s="8">
        <f t="shared" si="17"/>
        <v>9.7638759495287886E-2</v>
      </c>
      <c r="E281" s="7">
        <v>1255.02</v>
      </c>
      <c r="F281" s="8">
        <f t="shared" si="18"/>
        <v>5.2616473739597325E-4</v>
      </c>
      <c r="G281" s="8">
        <f t="shared" si="19"/>
        <v>0.25502000000000002</v>
      </c>
      <c r="H281" s="9">
        <f>Summary!$E$12*(1+G281)</f>
        <v>6024096</v>
      </c>
      <c r="I281" s="9">
        <f>Summary!$E$12*(1+D281)</f>
        <v>5268666.0455773817</v>
      </c>
    </row>
    <row r="282" spans="1:9" ht="15" customHeight="1" x14ac:dyDescent="0.25">
      <c r="A282" s="2" t="s">
        <v>289</v>
      </c>
      <c r="B282" s="3">
        <v>24866.85</v>
      </c>
      <c r="C282" s="4">
        <f t="shared" si="16"/>
        <v>-2.078764299029201E-3</v>
      </c>
      <c r="D282" s="4">
        <f t="shared" si="17"/>
        <v>9.5357027228818447E-2</v>
      </c>
      <c r="E282" s="3">
        <v>1255.18</v>
      </c>
      <c r="F282" s="4">
        <f t="shared" si="18"/>
        <v>1.2748800815920447E-4</v>
      </c>
      <c r="G282" s="4">
        <f t="shared" si="19"/>
        <v>0.25517999999999996</v>
      </c>
      <c r="H282" s="5">
        <f>Summary!$E$12*(1+G282)</f>
        <v>6024864</v>
      </c>
      <c r="I282" s="5">
        <f>Summary!$E$12*(1+D282)</f>
        <v>5257713.7306983285</v>
      </c>
    </row>
    <row r="283" spans="1:9" ht="15" customHeight="1" x14ac:dyDescent="0.25">
      <c r="A283" s="6" t="s">
        <v>290</v>
      </c>
      <c r="B283" s="7">
        <v>24985.53</v>
      </c>
      <c r="C283" s="8">
        <f t="shared" si="16"/>
        <v>4.7726189686270182E-3</v>
      </c>
      <c r="D283" s="8">
        <f t="shared" si="17"/>
        <v>0.10058474895438962</v>
      </c>
      <c r="E283" s="7">
        <v>1258.08</v>
      </c>
      <c r="F283" s="8">
        <f t="shared" si="18"/>
        <v>2.310425596328658E-3</v>
      </c>
      <c r="G283" s="8">
        <f t="shared" si="19"/>
        <v>0.25807999999999987</v>
      </c>
      <c r="H283" s="9">
        <f>Summary!$E$12*(1+G283)</f>
        <v>6038783.9999999991</v>
      </c>
      <c r="I283" s="9">
        <f>Summary!$E$12*(1+D283)</f>
        <v>5282806.7949810699</v>
      </c>
    </row>
    <row r="284" spans="1:9" ht="15" customHeight="1" x14ac:dyDescent="0.25">
      <c r="A284" s="2" t="s">
        <v>291</v>
      </c>
      <c r="B284" s="3">
        <v>24871.200000000001</v>
      </c>
      <c r="C284" s="4">
        <f t="shared" si="16"/>
        <v>-4.5758485011123673E-3</v>
      </c>
      <c r="D284" s="4">
        <f t="shared" si="17"/>
        <v>9.554863988053941E-2</v>
      </c>
      <c r="E284" s="3">
        <v>1258.26</v>
      </c>
      <c r="F284" s="4">
        <f t="shared" si="18"/>
        <v>1.4307516215184002E-4</v>
      </c>
      <c r="G284" s="4">
        <f t="shared" si="19"/>
        <v>0.25825999999999993</v>
      </c>
      <c r="H284" s="5">
        <f>Summary!$E$12*(1+G284)</f>
        <v>6039648</v>
      </c>
      <c r="I284" s="5">
        <f>Summary!$E$12*(1+D284)</f>
        <v>5258633.4714265894</v>
      </c>
    </row>
    <row r="285" spans="1:9" ht="15" customHeight="1" x14ac:dyDescent="0.25">
      <c r="A285" s="6" t="s">
        <v>292</v>
      </c>
      <c r="B285" s="7">
        <v>24799</v>
      </c>
      <c r="C285" s="8">
        <f t="shared" si="16"/>
        <v>-2.9029560294637768E-3</v>
      </c>
      <c r="D285" s="8">
        <f t="shared" si="17"/>
        <v>9.2368310350827487E-2</v>
      </c>
      <c r="E285" s="7">
        <v>1259.6199999999999</v>
      </c>
      <c r="F285" s="8">
        <f t="shared" si="18"/>
        <v>1.080857692368653E-3</v>
      </c>
      <c r="G285" s="8">
        <f t="shared" si="19"/>
        <v>0.25961999999999996</v>
      </c>
      <c r="H285" s="9">
        <f>Summary!$E$12*(1+G285)</f>
        <v>6046176</v>
      </c>
      <c r="I285" s="9">
        <f>Summary!$E$12*(1+D285)</f>
        <v>5243367.8896839721</v>
      </c>
    </row>
    <row r="286" spans="1:9" ht="15" customHeight="1" x14ac:dyDescent="0.25">
      <c r="A286" s="2" t="s">
        <v>293</v>
      </c>
      <c r="B286" s="3">
        <v>25044.39</v>
      </c>
      <c r="C286" s="4">
        <f t="shared" si="16"/>
        <v>9.8951570627847651E-3</v>
      </c>
      <c r="D286" s="4">
        <f t="shared" si="17"/>
        <v>0.10317746635215763</v>
      </c>
      <c r="E286" s="3">
        <v>1262.55</v>
      </c>
      <c r="F286" s="4">
        <f t="shared" si="18"/>
        <v>2.3260983471207197E-3</v>
      </c>
      <c r="G286" s="4">
        <f t="shared" si="19"/>
        <v>0.26255000000000006</v>
      </c>
      <c r="H286" s="5">
        <f>Summary!$E$12*(1+G286)</f>
        <v>6060240</v>
      </c>
      <c r="I286" s="5">
        <f>Summary!$E$12*(1+D286)</f>
        <v>5295251.8384903567</v>
      </c>
    </row>
    <row r="287" spans="1:9" ht="15" customHeight="1" x14ac:dyDescent="0.25">
      <c r="A287" s="6" t="s">
        <v>294</v>
      </c>
      <c r="B287" s="7">
        <v>24942.91</v>
      </c>
      <c r="C287" s="8">
        <f t="shared" si="16"/>
        <v>-4.0520052594612554E-3</v>
      </c>
      <c r="D287" s="8">
        <f t="shared" si="17"/>
        <v>9.8707385456379582E-2</v>
      </c>
      <c r="E287" s="7">
        <v>1265.01</v>
      </c>
      <c r="F287" s="8">
        <f t="shared" si="18"/>
        <v>1.9484376856362395E-3</v>
      </c>
      <c r="G287" s="8">
        <f t="shared" si="19"/>
        <v>0.26500999999999997</v>
      </c>
      <c r="H287" s="9">
        <f>Summary!$E$12*(1+G287)</f>
        <v>6072048</v>
      </c>
      <c r="I287" s="9">
        <f>Summary!$E$12*(1+D287)</f>
        <v>5273795.4501906224</v>
      </c>
    </row>
    <row r="288" spans="1:9" ht="15" customHeight="1" x14ac:dyDescent="0.25">
      <c r="A288" s="2" t="s">
        <v>295</v>
      </c>
      <c r="B288" s="3">
        <v>25275.07</v>
      </c>
      <c r="C288" s="4">
        <f t="shared" si="16"/>
        <v>1.3316810267927748E-2</v>
      </c>
      <c r="D288" s="4">
        <f t="shared" si="17"/>
        <v>0.11333866324847319</v>
      </c>
      <c r="E288" s="3">
        <v>1272.4100000000001</v>
      </c>
      <c r="F288" s="4">
        <f t="shared" si="18"/>
        <v>5.8497561284100996E-3</v>
      </c>
      <c r="G288" s="4">
        <f t="shared" si="19"/>
        <v>0.27241000000000004</v>
      </c>
      <c r="H288" s="5">
        <f>Summary!$E$12*(1+G288)</f>
        <v>6107568</v>
      </c>
      <c r="I288" s="5">
        <f>Summary!$E$12*(1+D288)</f>
        <v>5344025.583592671</v>
      </c>
    </row>
    <row r="289" spans="1:9" ht="15" customHeight="1" x14ac:dyDescent="0.25">
      <c r="A289" s="6" t="s">
        <v>296</v>
      </c>
      <c r="B289" s="7">
        <v>25275.34</v>
      </c>
      <c r="C289" s="8">
        <f t="shared" si="16"/>
        <v>1.068246299618103E-5</v>
      </c>
      <c r="D289" s="8">
        <f t="shared" si="17"/>
        <v>0.11335055644754544</v>
      </c>
      <c r="E289" s="7">
        <v>1273.58</v>
      </c>
      <c r="F289" s="8">
        <f t="shared" si="18"/>
        <v>9.1951493622333125E-4</v>
      </c>
      <c r="G289" s="8">
        <f t="shared" si="19"/>
        <v>0.27357999999999993</v>
      </c>
      <c r="H289" s="9">
        <f>Summary!$E$12*(1+G289)</f>
        <v>6113184</v>
      </c>
      <c r="I289" s="9">
        <f>Summary!$E$12*(1+D289)</f>
        <v>5344082.6709482186</v>
      </c>
    </row>
    <row r="290" spans="1:9" ht="15" customHeight="1" x14ac:dyDescent="0.25">
      <c r="A290" s="2" t="s">
        <v>297</v>
      </c>
      <c r="B290" s="3">
        <v>25241.51</v>
      </c>
      <c r="C290" s="4">
        <f t="shared" si="16"/>
        <v>-1.3384587507033752E-3</v>
      </c>
      <c r="D290" s="4">
        <f t="shared" si="17"/>
        <v>0.11186038265266784</v>
      </c>
      <c r="E290" s="3">
        <v>1274.6199999999999</v>
      </c>
      <c r="F290" s="4">
        <f t="shared" si="18"/>
        <v>8.1659573799841567E-4</v>
      </c>
      <c r="G290" s="4">
        <f t="shared" si="19"/>
        <v>0.27461999999999986</v>
      </c>
      <c r="H290" s="5">
        <f>Summary!$E$12*(1+G290)</f>
        <v>6118175.9999999991</v>
      </c>
      <c r="I290" s="5">
        <f>Summary!$E$12*(1+D290)</f>
        <v>5336929.8367328057</v>
      </c>
    </row>
    <row r="291" spans="1:9" ht="15" customHeight="1" x14ac:dyDescent="0.25">
      <c r="A291" s="6" t="s">
        <v>298</v>
      </c>
      <c r="B291" s="7">
        <v>25196.09</v>
      </c>
      <c r="C291" s="8">
        <f t="shared" si="16"/>
        <v>-1.7994169128550119E-3</v>
      </c>
      <c r="D291" s="8">
        <f t="shared" si="17"/>
        <v>0.10985968227538923</v>
      </c>
      <c r="E291" s="7">
        <v>1275.9000000000001</v>
      </c>
      <c r="F291" s="8">
        <f t="shared" si="18"/>
        <v>1.0042208658267437E-3</v>
      </c>
      <c r="G291" s="8">
        <f t="shared" si="19"/>
        <v>0.27590000000000003</v>
      </c>
      <c r="H291" s="9">
        <f>Summary!$E$12*(1+G291)</f>
        <v>6124320</v>
      </c>
      <c r="I291" s="9">
        <f>Summary!$E$12*(1+D291)</f>
        <v>5327326.4749218682</v>
      </c>
    </row>
    <row r="292" spans="1:9" ht="15" customHeight="1" x14ac:dyDescent="0.25">
      <c r="A292" s="2" t="s">
        <v>299</v>
      </c>
      <c r="B292" s="3">
        <v>25309.01</v>
      </c>
      <c r="C292" s="4">
        <f t="shared" si="16"/>
        <v>4.4816477477258587E-3</v>
      </c>
      <c r="D292" s="4">
        <f t="shared" si="17"/>
        <v>0.11483368242075054</v>
      </c>
      <c r="E292" s="3">
        <v>1279.9000000000001</v>
      </c>
      <c r="F292" s="4">
        <f t="shared" si="18"/>
        <v>3.1350419311857447E-3</v>
      </c>
      <c r="G292" s="4">
        <f t="shared" si="19"/>
        <v>0.27990000000000004</v>
      </c>
      <c r="H292" s="5">
        <f>Summary!$E$12*(1+G292)</f>
        <v>6143520</v>
      </c>
      <c r="I292" s="5">
        <f>Summary!$E$12*(1+D292)</f>
        <v>5351201.6756196022</v>
      </c>
    </row>
    <row r="293" spans="1:9" ht="15" customHeight="1" x14ac:dyDescent="0.25">
      <c r="A293" s="6" t="s">
        <v>300</v>
      </c>
      <c r="B293" s="7">
        <v>25375.360000000001</v>
      </c>
      <c r="C293" s="8">
        <f t="shared" si="16"/>
        <v>2.6215960244988512E-3</v>
      </c>
      <c r="D293" s="8">
        <f t="shared" si="17"/>
        <v>0.11775632597056229</v>
      </c>
      <c r="E293" s="7">
        <v>1284.17</v>
      </c>
      <c r="F293" s="8">
        <f t="shared" si="18"/>
        <v>3.3361981404798069E-3</v>
      </c>
      <c r="G293" s="8">
        <f t="shared" si="19"/>
        <v>0.28417000000000003</v>
      </c>
      <c r="H293" s="9">
        <f>Summary!$E$12*(1+G293)</f>
        <v>6164016</v>
      </c>
      <c r="I293" s="9">
        <f>Summary!$E$12*(1+D293)</f>
        <v>5365230.3646586994</v>
      </c>
    </row>
    <row r="294" spans="1:9" ht="15" customHeight="1" x14ac:dyDescent="0.25">
      <c r="A294" s="2" t="s">
        <v>301</v>
      </c>
      <c r="B294" s="3">
        <v>25272.69</v>
      </c>
      <c r="C294" s="4">
        <f t="shared" si="16"/>
        <v>-4.0460509722818339E-3</v>
      </c>
      <c r="D294" s="4">
        <f t="shared" si="17"/>
        <v>0.11323382690109485</v>
      </c>
      <c r="E294" s="3">
        <v>1283.1500000000001</v>
      </c>
      <c r="F294" s="4">
        <f t="shared" si="18"/>
        <v>-7.9428736070763506E-4</v>
      </c>
      <c r="G294" s="4">
        <f t="shared" si="19"/>
        <v>0.28315000000000001</v>
      </c>
      <c r="H294" s="5">
        <f>Summary!$E$12*(1+G294)</f>
        <v>6159120</v>
      </c>
      <c r="I294" s="5">
        <f>Summary!$E$12*(1+D294)</f>
        <v>5343522.3691252554</v>
      </c>
    </row>
    <row r="295" spans="1:9" ht="15" customHeight="1" x14ac:dyDescent="0.25">
      <c r="A295" s="6" t="s">
        <v>302</v>
      </c>
      <c r="B295" s="7">
        <v>25341.95</v>
      </c>
      <c r="C295" s="8">
        <f t="shared" si="16"/>
        <v>2.7405076388782312E-3</v>
      </c>
      <c r="D295" s="8">
        <f t="shared" si="17"/>
        <v>0.11628465270757493</v>
      </c>
      <c r="E295" s="7">
        <v>1284.56</v>
      </c>
      <c r="F295" s="8">
        <f t="shared" si="18"/>
        <v>1.0988582784552392E-3</v>
      </c>
      <c r="G295" s="8">
        <f t="shared" si="19"/>
        <v>0.28455999999999992</v>
      </c>
      <c r="H295" s="9">
        <f>Summary!$E$12*(1+G295)</f>
        <v>6165888</v>
      </c>
      <c r="I295" s="9">
        <f>Summary!$E$12*(1+D295)</f>
        <v>5358166.33299636</v>
      </c>
    </row>
    <row r="296" spans="1:9" ht="15" customHeight="1" x14ac:dyDescent="0.25">
      <c r="A296" s="2" t="s">
        <v>303</v>
      </c>
      <c r="B296" s="3">
        <v>25459.83</v>
      </c>
      <c r="C296" s="4">
        <f t="shared" si="16"/>
        <v>4.6515757469334229E-3</v>
      </c>
      <c r="D296" s="4">
        <f t="shared" si="17"/>
        <v>0.12147713532478366</v>
      </c>
      <c r="E296" s="3">
        <v>1285.95</v>
      </c>
      <c r="F296" s="4">
        <f t="shared" si="18"/>
        <v>1.0820825808059986E-3</v>
      </c>
      <c r="G296" s="4">
        <f t="shared" si="19"/>
        <v>0.28595000000000015</v>
      </c>
      <c r="H296" s="5">
        <f>Summary!$E$12*(1+G296)</f>
        <v>6172560.0000000009</v>
      </c>
      <c r="I296" s="5">
        <f>Summary!$E$12*(1+D296)</f>
        <v>5383090.249558962</v>
      </c>
    </row>
    <row r="297" spans="1:9" ht="15" customHeight="1" x14ac:dyDescent="0.25">
      <c r="A297" s="6" t="s">
        <v>304</v>
      </c>
      <c r="B297" s="7">
        <v>25534.720000000001</v>
      </c>
      <c r="C297" s="8">
        <f t="shared" si="16"/>
        <v>2.9414964671798938E-3</v>
      </c>
      <c r="D297" s="8">
        <f t="shared" si="17"/>
        <v>0.1247759563563644</v>
      </c>
      <c r="E297" s="7">
        <v>1286.83</v>
      </c>
      <c r="F297" s="8">
        <f t="shared" si="18"/>
        <v>6.8431898596355012E-4</v>
      </c>
      <c r="G297" s="8">
        <f t="shared" si="19"/>
        <v>0.28682999999999992</v>
      </c>
      <c r="H297" s="9">
        <f>Summary!$E$12*(1+G297)</f>
        <v>6176784</v>
      </c>
      <c r="I297" s="9">
        <f>Summary!$E$12*(1+D297)</f>
        <v>5398924.590510549</v>
      </c>
    </row>
    <row r="298" spans="1:9" ht="15" customHeight="1" x14ac:dyDescent="0.25">
      <c r="A298" s="2" t="s">
        <v>305</v>
      </c>
      <c r="B298" s="3">
        <v>25786.58</v>
      </c>
      <c r="C298" s="4">
        <f t="shared" si="16"/>
        <v>9.8634330041607043E-3</v>
      </c>
      <c r="D298" s="4">
        <f t="shared" si="17"/>
        <v>0.13587010864657612</v>
      </c>
      <c r="E298" s="3">
        <v>1288.8900000000001</v>
      </c>
      <c r="F298" s="4">
        <f t="shared" si="18"/>
        <v>1.6008330548713534E-3</v>
      </c>
      <c r="G298" s="4">
        <f t="shared" si="19"/>
        <v>0.28889000000000009</v>
      </c>
      <c r="H298" s="5">
        <f>Summary!$E$12*(1+G298)</f>
        <v>6186672</v>
      </c>
      <c r="I298" s="5">
        <f>Summary!$E$12*(1+D298)</f>
        <v>5452176.5215035649</v>
      </c>
    </row>
    <row r="299" spans="1:9" ht="15" customHeight="1" x14ac:dyDescent="0.25">
      <c r="A299" s="6" t="s">
        <v>306</v>
      </c>
      <c r="B299" s="7">
        <v>25436.51</v>
      </c>
      <c r="C299" s="8">
        <f t="shared" si="16"/>
        <v>-1.3575666102290551E-2</v>
      </c>
      <c r="D299" s="8">
        <f t="shared" si="17"/>
        <v>0.12044991531601767</v>
      </c>
      <c r="E299" s="7">
        <v>1287.23</v>
      </c>
      <c r="F299" s="8">
        <f t="shared" si="18"/>
        <v>-1.28792992419835E-3</v>
      </c>
      <c r="G299" s="8">
        <f t="shared" si="19"/>
        <v>0.2872300000000001</v>
      </c>
      <c r="H299" s="9">
        <f>Summary!$E$12*(1+G299)</f>
        <v>6178704</v>
      </c>
      <c r="I299" s="9">
        <f>Summary!$E$12*(1+D299)</f>
        <v>5378159.5935168853</v>
      </c>
    </row>
    <row r="300" spans="1:9" ht="15" customHeight="1" x14ac:dyDescent="0.25">
      <c r="A300" s="2" t="s">
        <v>307</v>
      </c>
      <c r="B300" s="3">
        <v>25447.040000000001</v>
      </c>
      <c r="C300" s="4">
        <f t="shared" si="16"/>
        <v>4.1397188529401774E-4</v>
      </c>
      <c r="D300" s="4">
        <f t="shared" si="17"/>
        <v>0.12091375007983873</v>
      </c>
      <c r="E300" s="3">
        <v>1287.42</v>
      </c>
      <c r="F300" s="4">
        <f t="shared" si="18"/>
        <v>1.4760376933420361E-4</v>
      </c>
      <c r="G300" s="4">
        <f t="shared" si="19"/>
        <v>0.28742000000000001</v>
      </c>
      <c r="H300" s="5">
        <f>Summary!$E$12*(1+G300)</f>
        <v>6179616</v>
      </c>
      <c r="I300" s="5">
        <f>Summary!$E$12*(1+D300)</f>
        <v>5380386.0003832262</v>
      </c>
    </row>
    <row r="301" spans="1:9" ht="15" customHeight="1" x14ac:dyDescent="0.25">
      <c r="A301" s="6" t="s">
        <v>308</v>
      </c>
      <c r="B301" s="7">
        <v>25393.46</v>
      </c>
      <c r="C301" s="8">
        <f t="shared" si="16"/>
        <v>-2.105549407711127E-3</v>
      </c>
      <c r="D301" s="8">
        <f t="shared" si="17"/>
        <v>0.1185536107972629</v>
      </c>
      <c r="E301" s="7">
        <v>1290.04</v>
      </c>
      <c r="F301" s="8">
        <f t="shared" si="18"/>
        <v>2.0350779077533687E-3</v>
      </c>
      <c r="G301" s="8">
        <f t="shared" si="19"/>
        <v>0.29003999999999985</v>
      </c>
      <c r="H301" s="9">
        <f>Summary!$E$12*(1+G301)</f>
        <v>6192191.9999999991</v>
      </c>
      <c r="I301" s="9">
        <f>Summary!$E$12*(1+D301)</f>
        <v>5369057.3318268619</v>
      </c>
    </row>
    <row r="302" spans="1:9" ht="15" customHeight="1" x14ac:dyDescent="0.25">
      <c r="A302" s="2" t="s">
        <v>309</v>
      </c>
      <c r="B302" s="3">
        <v>25513.4</v>
      </c>
      <c r="C302" s="4">
        <f t="shared" si="16"/>
        <v>4.7232633914402467E-3</v>
      </c>
      <c r="D302" s="4">
        <f t="shared" si="17"/>
        <v>0.12383683411850477</v>
      </c>
      <c r="E302" s="3">
        <v>1293.73</v>
      </c>
      <c r="F302" s="4">
        <f t="shared" si="18"/>
        <v>2.860376422436639E-3</v>
      </c>
      <c r="G302" s="4">
        <f t="shared" si="19"/>
        <v>0.29373000000000005</v>
      </c>
      <c r="H302" s="5">
        <f>Summary!$E$12*(1+G302)</f>
        <v>6209904</v>
      </c>
      <c r="I302" s="5">
        <f>Summary!$E$12*(1+D302)</f>
        <v>5394416.8037688229</v>
      </c>
    </row>
    <row r="303" spans="1:9" ht="15" customHeight="1" x14ac:dyDescent="0.25">
      <c r="A303" s="6" t="s">
        <v>310</v>
      </c>
      <c r="B303" s="7">
        <v>25869.53</v>
      </c>
      <c r="C303" s="8">
        <f t="shared" si="16"/>
        <v>1.3958547273197563E-2</v>
      </c>
      <c r="D303" s="8">
        <f t="shared" si="17"/>
        <v>0.1395239636949086</v>
      </c>
      <c r="E303" s="7">
        <v>1297.57</v>
      </c>
      <c r="F303" s="8">
        <f t="shared" si="18"/>
        <v>2.9681618266561571E-3</v>
      </c>
      <c r="G303" s="8">
        <f t="shared" si="19"/>
        <v>0.29756999999999989</v>
      </c>
      <c r="H303" s="9">
        <f>Summary!$E$12*(1+G303)</f>
        <v>6228335.9999999991</v>
      </c>
      <c r="I303" s="9">
        <f>Summary!$E$12*(1+D303)</f>
        <v>5469715.0257355617</v>
      </c>
    </row>
    <row r="304" spans="1:9" ht="15" customHeight="1" x14ac:dyDescent="0.25">
      <c r="A304" s="2" t="s">
        <v>311</v>
      </c>
      <c r="B304" s="3">
        <v>25697.77</v>
      </c>
      <c r="C304" s="4">
        <f t="shared" si="16"/>
        <v>-6.639471223481741E-3</v>
      </c>
      <c r="D304" s="4">
        <f t="shared" si="17"/>
        <v>0.13195812712948829</v>
      </c>
      <c r="E304" s="3">
        <v>1296.08</v>
      </c>
      <c r="F304" s="4">
        <f t="shared" si="18"/>
        <v>-1.1483002843777346E-3</v>
      </c>
      <c r="G304" s="4">
        <f t="shared" si="19"/>
        <v>0.2960799999999999</v>
      </c>
      <c r="H304" s="5">
        <f>Summary!$E$12*(1+G304)</f>
        <v>6221183.9999999991</v>
      </c>
      <c r="I304" s="5">
        <f>Summary!$E$12*(1+D304)</f>
        <v>5433399.0102215437</v>
      </c>
    </row>
    <row r="305" spans="1:9" ht="15" customHeight="1" x14ac:dyDescent="0.25">
      <c r="A305" s="6" t="s">
        <v>312</v>
      </c>
      <c r="B305" s="7">
        <v>25614.2</v>
      </c>
      <c r="C305" s="8">
        <f t="shared" si="16"/>
        <v>-3.2520331530712099E-3</v>
      </c>
      <c r="D305" s="8">
        <f t="shared" si="17"/>
        <v>0.12827696177217485</v>
      </c>
      <c r="E305" s="7">
        <v>1295.95</v>
      </c>
      <c r="F305" s="8">
        <f t="shared" si="18"/>
        <v>-1.0030245046588337E-4</v>
      </c>
      <c r="G305" s="8">
        <f t="shared" si="19"/>
        <v>0.29594999999999994</v>
      </c>
      <c r="H305" s="9">
        <f>Summary!$E$12*(1+G305)</f>
        <v>6220560</v>
      </c>
      <c r="I305" s="9">
        <f>Summary!$E$12*(1+D305)</f>
        <v>5415729.4165064394</v>
      </c>
    </row>
    <row r="306" spans="1:9" ht="15" customHeight="1" x14ac:dyDescent="0.25">
      <c r="A306" s="2" t="s">
        <v>313</v>
      </c>
      <c r="B306" s="3">
        <v>25636</v>
      </c>
      <c r="C306" s="4">
        <f t="shared" si="16"/>
        <v>8.5109041078768044E-4</v>
      </c>
      <c r="D306" s="4">
        <f t="shared" si="17"/>
        <v>0.12923722747505195</v>
      </c>
      <c r="E306" s="3">
        <v>1298.1400000000001</v>
      </c>
      <c r="F306" s="4">
        <f t="shared" si="18"/>
        <v>1.6898800108029466E-3</v>
      </c>
      <c r="G306" s="4">
        <f t="shared" si="19"/>
        <v>0.29814000000000007</v>
      </c>
      <c r="H306" s="5">
        <f>Summary!$E$12*(1+G306)</f>
        <v>6231072</v>
      </c>
      <c r="I306" s="5">
        <f>Summary!$E$12*(1+D306)</f>
        <v>5420338.6918802494</v>
      </c>
    </row>
    <row r="307" spans="1:9" ht="15" customHeight="1" x14ac:dyDescent="0.25">
      <c r="A307" s="6" t="s">
        <v>314</v>
      </c>
      <c r="B307" s="7">
        <v>25548.74</v>
      </c>
      <c r="C307" s="8">
        <f t="shared" si="16"/>
        <v>-3.4038071462005881E-3</v>
      </c>
      <c r="D307" s="8">
        <f t="shared" si="17"/>
        <v>0.12539352173041651</v>
      </c>
      <c r="E307" s="7">
        <v>1296.5999999999999</v>
      </c>
      <c r="F307" s="8">
        <f t="shared" si="18"/>
        <v>-1.1863127243596505E-3</v>
      </c>
      <c r="G307" s="8">
        <f t="shared" si="19"/>
        <v>0.29659999999999997</v>
      </c>
      <c r="H307" s="9">
        <f>Summary!$E$12*(1+G307)</f>
        <v>6223680</v>
      </c>
      <c r="I307" s="9">
        <f>Summary!$E$12*(1+D307)</f>
        <v>5401888.9043059992</v>
      </c>
    </row>
    <row r="308" spans="1:9" ht="15" customHeight="1" x14ac:dyDescent="0.25">
      <c r="A308" s="2" t="s">
        <v>315</v>
      </c>
      <c r="B308" s="3">
        <v>25650.39</v>
      </c>
      <c r="C308" s="4">
        <f t="shared" si="16"/>
        <v>3.9786697895864975E-3</v>
      </c>
      <c r="D308" s="4">
        <f t="shared" si="17"/>
        <v>0.12987109093672156</v>
      </c>
      <c r="E308" s="3">
        <v>1296.23</v>
      </c>
      <c r="F308" s="4">
        <f t="shared" si="18"/>
        <v>-2.853617152551724E-4</v>
      </c>
      <c r="G308" s="4">
        <f t="shared" si="19"/>
        <v>0.29622999999999999</v>
      </c>
      <c r="H308" s="5">
        <f>Summary!$E$12*(1+G308)</f>
        <v>6221904</v>
      </c>
      <c r="I308" s="5">
        <f>Summary!$E$12*(1+D308)</f>
        <v>5423381.2364962632</v>
      </c>
    </row>
    <row r="309" spans="1:9" ht="15" customHeight="1" x14ac:dyDescent="0.25">
      <c r="A309" s="6" t="s">
        <v>316</v>
      </c>
      <c r="B309" s="7">
        <v>25769.47</v>
      </c>
      <c r="C309" s="8">
        <f t="shared" si="16"/>
        <v>4.6424245401337494E-3</v>
      </c>
      <c r="D309" s="8">
        <f t="shared" si="17"/>
        <v>0.13511643221647396</v>
      </c>
      <c r="E309" s="7">
        <v>1297.71</v>
      </c>
      <c r="F309" s="8">
        <f t="shared" si="18"/>
        <v>1.1417726792313232E-3</v>
      </c>
      <c r="G309" s="8">
        <f t="shared" si="19"/>
        <v>0.29771000000000014</v>
      </c>
      <c r="H309" s="9">
        <f>Summary!$E$12*(1+G309)</f>
        <v>6229008.0000000009</v>
      </c>
      <c r="I309" s="9">
        <f>Summary!$E$12*(1+D309)</f>
        <v>5448558.8746390752</v>
      </c>
    </row>
    <row r="310" spans="1:9" ht="15" customHeight="1" x14ac:dyDescent="0.25">
      <c r="A310" s="2" t="s">
        <v>317</v>
      </c>
      <c r="B310" s="3">
        <v>25608.22</v>
      </c>
      <c r="C310" s="4">
        <f t="shared" si="16"/>
        <v>-6.2574045954378876E-3</v>
      </c>
      <c r="D310" s="4">
        <f t="shared" si="17"/>
        <v>0.12801354943716547</v>
      </c>
      <c r="E310" s="3">
        <v>1296.8599999999999</v>
      </c>
      <c r="F310" s="4">
        <f t="shared" si="18"/>
        <v>-6.549999614706703E-4</v>
      </c>
      <c r="G310" s="4">
        <f t="shared" si="19"/>
        <v>0.2968599999999999</v>
      </c>
      <c r="H310" s="5">
        <f>Summary!$E$12*(1+G310)</f>
        <v>6224927.9999999991</v>
      </c>
      <c r="I310" s="5">
        <f>Summary!$E$12*(1+D310)</f>
        <v>5414465.0372983944</v>
      </c>
    </row>
    <row r="311" spans="1:9" ht="15" customHeight="1" x14ac:dyDescent="0.25">
      <c r="A311" s="6" t="s">
        <v>318</v>
      </c>
      <c r="B311" s="7">
        <v>25698.66</v>
      </c>
      <c r="C311" s="8">
        <f t="shared" si="16"/>
        <v>3.5316785001064943E-3</v>
      </c>
      <c r="D311" s="8">
        <f t="shared" si="17"/>
        <v>0.13199733063754149</v>
      </c>
      <c r="E311" s="7">
        <v>1297.3399999999999</v>
      </c>
      <c r="F311" s="8">
        <f t="shared" si="18"/>
        <v>3.701247628888904E-4</v>
      </c>
      <c r="G311" s="8">
        <f t="shared" si="19"/>
        <v>0.29733999999999994</v>
      </c>
      <c r="H311" s="9">
        <f>Summary!$E$12*(1+G311)</f>
        <v>6227232</v>
      </c>
      <c r="I311" s="9">
        <f>Summary!$E$12*(1+D311)</f>
        <v>5433587.1870601987</v>
      </c>
    </row>
    <row r="312" spans="1:9" ht="15" customHeight="1" x14ac:dyDescent="0.25">
      <c r="A312" s="2" t="s">
        <v>319</v>
      </c>
      <c r="B312" s="3">
        <v>25644.48</v>
      </c>
      <c r="C312" s="4">
        <f t="shared" si="16"/>
        <v>-2.1082811321679884E-3</v>
      </c>
      <c r="D312" s="4">
        <f t="shared" si="17"/>
        <v>0.12961076202369393</v>
      </c>
      <c r="E312" s="3">
        <v>1299.02</v>
      </c>
      <c r="F312" s="4">
        <f t="shared" si="18"/>
        <v>1.2949573743197274E-3</v>
      </c>
      <c r="G312" s="4">
        <f t="shared" si="19"/>
        <v>0.29902000000000006</v>
      </c>
      <c r="H312" s="5">
        <f>Summary!$E$12*(1+G312)</f>
        <v>6235296</v>
      </c>
      <c r="I312" s="5">
        <f>Summary!$E$12*(1+D312)</f>
        <v>5422131.6577137308</v>
      </c>
    </row>
    <row r="313" spans="1:9" ht="15" customHeight="1" x14ac:dyDescent="0.25">
      <c r="A313" s="6" t="s">
        <v>320</v>
      </c>
      <c r="B313" s="7">
        <v>25763.77</v>
      </c>
      <c r="C313" s="8">
        <f t="shared" si="16"/>
        <v>4.6516833252223666E-3</v>
      </c>
      <c r="D313" s="8">
        <f t="shared" si="17"/>
        <v>0.13486535356939133</v>
      </c>
      <c r="E313" s="7">
        <v>1300.8499999999999</v>
      </c>
      <c r="F313" s="8">
        <f t="shared" si="18"/>
        <v>1.4087542916967344E-3</v>
      </c>
      <c r="G313" s="8">
        <f t="shared" si="19"/>
        <v>0.30084999999999984</v>
      </c>
      <c r="H313" s="9">
        <f>Summary!$E$12*(1+G313)</f>
        <v>6244079.9999999991</v>
      </c>
      <c r="I313" s="9">
        <f>Summary!$E$12*(1+D313)</f>
        <v>5447353.6971330782</v>
      </c>
    </row>
    <row r="314" spans="1:9" ht="15" customHeight="1" x14ac:dyDescent="0.25">
      <c r="A314" s="2" t="s">
        <v>321</v>
      </c>
      <c r="B314" s="3">
        <v>25733.69</v>
      </c>
      <c r="C314" s="4">
        <f t="shared" si="16"/>
        <v>-1.1675309941053813E-3</v>
      </c>
      <c r="D314" s="4">
        <f t="shared" si="17"/>
        <v>0.13354036309496276</v>
      </c>
      <c r="E314" s="3">
        <v>1301.4100000000001</v>
      </c>
      <c r="F314" s="4">
        <f t="shared" si="18"/>
        <v>4.3048775800458294E-4</v>
      </c>
      <c r="G314" s="4">
        <f t="shared" si="19"/>
        <v>0.30141000000000018</v>
      </c>
      <c r="H314" s="5">
        <f>Summary!$E$12*(1+G314)</f>
        <v>6246768.0000000009</v>
      </c>
      <c r="I314" s="5">
        <f>Summary!$E$12*(1+D314)</f>
        <v>5440993.7428558208</v>
      </c>
    </row>
    <row r="315" spans="1:9" ht="15" customHeight="1" x14ac:dyDescent="0.25">
      <c r="A315" s="6" t="s">
        <v>322</v>
      </c>
      <c r="B315" s="7">
        <v>25779.279999999999</v>
      </c>
      <c r="C315" s="8">
        <f t="shared" si="16"/>
        <v>1.7716075696878608E-3</v>
      </c>
      <c r="D315" s="8">
        <f t="shared" si="17"/>
        <v>0.13554855178276859</v>
      </c>
      <c r="E315" s="7">
        <v>1301.21</v>
      </c>
      <c r="F315" s="8">
        <f t="shared" si="18"/>
        <v>-1.5367947072797428E-4</v>
      </c>
      <c r="G315" s="8">
        <f t="shared" si="19"/>
        <v>0.30120999999999998</v>
      </c>
      <c r="H315" s="9">
        <f>Summary!$E$12*(1+G315)</f>
        <v>6245808</v>
      </c>
      <c r="I315" s="9">
        <f>Summary!$E$12*(1+D315)</f>
        <v>5450633.0485572889</v>
      </c>
    </row>
    <row r="316" spans="1:9" ht="15" customHeight="1" x14ac:dyDescent="0.25">
      <c r="A316" s="2" t="s">
        <v>323</v>
      </c>
      <c r="B316" s="3">
        <v>25740.45</v>
      </c>
      <c r="C316" s="4">
        <f t="shared" si="16"/>
        <v>-1.5062484289707356E-3</v>
      </c>
      <c r="D316" s="4">
        <f t="shared" si="17"/>
        <v>0.13383813356062557</v>
      </c>
      <c r="E316" s="3">
        <v>1301.1099999999999</v>
      </c>
      <c r="F316" s="4">
        <f t="shared" si="18"/>
        <v>-7.6851545868894533E-5</v>
      </c>
      <c r="G316" s="4">
        <f t="shared" si="19"/>
        <v>0.30110999999999999</v>
      </c>
      <c r="H316" s="5">
        <f>Summary!$E$12*(1+G316)</f>
        <v>6245328</v>
      </c>
      <c r="I316" s="5">
        <f>Summary!$E$12*(1+D316)</f>
        <v>5442423.0410910025</v>
      </c>
    </row>
    <row r="317" spans="1:9" ht="15" customHeight="1" x14ac:dyDescent="0.25">
      <c r="A317" s="6" t="s">
        <v>324</v>
      </c>
      <c r="B317" s="7">
        <v>25559.55</v>
      </c>
      <c r="C317" s="8">
        <f t="shared" si="16"/>
        <v>-7.0278491634762075E-3</v>
      </c>
      <c r="D317" s="8">
        <f t="shared" si="17"/>
        <v>0.1258696901821641</v>
      </c>
      <c r="E317" s="7">
        <v>1299.44</v>
      </c>
      <c r="F317" s="8">
        <f t="shared" si="18"/>
        <v>-1.2835194564639885E-3</v>
      </c>
      <c r="G317" s="8">
        <f t="shared" si="19"/>
        <v>0.29944000000000015</v>
      </c>
      <c r="H317" s="9">
        <f>Summary!$E$12*(1+G317)</f>
        <v>6237312.0000000009</v>
      </c>
      <c r="I317" s="9">
        <f>Summary!$E$12*(1+D317)</f>
        <v>5404174.5128743872</v>
      </c>
    </row>
    <row r="318" spans="1:9" ht="15" customHeight="1" x14ac:dyDescent="0.25">
      <c r="A318" s="2" t="s">
        <v>325</v>
      </c>
      <c r="B318" s="3">
        <v>25370.91</v>
      </c>
      <c r="C318" s="4">
        <f t="shared" si="16"/>
        <v>-7.3804116269652331E-3</v>
      </c>
      <c r="D318" s="4">
        <f t="shared" si="17"/>
        <v>0.11756030843029608</v>
      </c>
      <c r="E318" s="3">
        <v>1295.2</v>
      </c>
      <c r="F318" s="4">
        <f t="shared" si="18"/>
        <v>-3.2629440374315477E-3</v>
      </c>
      <c r="G318" s="4">
        <f t="shared" si="19"/>
        <v>0.29520000000000013</v>
      </c>
      <c r="H318" s="5">
        <f>Summary!$E$12*(1+G318)</f>
        <v>6216960.0000000009</v>
      </c>
      <c r="I318" s="5">
        <f>Summary!$E$12*(1+D318)</f>
        <v>5364289.4804654215</v>
      </c>
    </row>
    <row r="319" spans="1:9" ht="15" customHeight="1" x14ac:dyDescent="0.25">
      <c r="A319" s="6" t="s">
        <v>326</v>
      </c>
      <c r="B319" s="7">
        <v>25407.05</v>
      </c>
      <c r="C319" s="8">
        <f t="shared" si="16"/>
        <v>1.4244660518680785E-3</v>
      </c>
      <c r="D319" s="8">
        <f t="shared" si="17"/>
        <v>0.11915223515057005</v>
      </c>
      <c r="E319" s="7">
        <v>1296.24</v>
      </c>
      <c r="F319" s="8">
        <f t="shared" si="18"/>
        <v>8.0296479308206159E-4</v>
      </c>
      <c r="G319" s="8">
        <f t="shared" si="19"/>
        <v>0.29624000000000006</v>
      </c>
      <c r="H319" s="9">
        <f>Summary!$E$12*(1+G319)</f>
        <v>6221952</v>
      </c>
      <c r="I319" s="9">
        <f>Summary!$E$12*(1+D319)</f>
        <v>5371930.7287227362</v>
      </c>
    </row>
    <row r="320" spans="1:9" ht="15" customHeight="1" x14ac:dyDescent="0.25">
      <c r="A320" s="2" t="s">
        <v>327</v>
      </c>
      <c r="B320" s="3">
        <v>25254.38</v>
      </c>
      <c r="C320" s="4">
        <f t="shared" si="16"/>
        <v>-6.0089620794228082E-3</v>
      </c>
      <c r="D320" s="4">
        <f t="shared" si="17"/>
        <v>0.11242729180844901</v>
      </c>
      <c r="E320" s="3">
        <v>1292.92</v>
      </c>
      <c r="F320" s="4">
        <f t="shared" si="18"/>
        <v>-2.5612540887489654E-3</v>
      </c>
      <c r="G320" s="4">
        <f t="shared" si="19"/>
        <v>0.29292000000000007</v>
      </c>
      <c r="H320" s="5">
        <f>Summary!$E$12*(1+G320)</f>
        <v>6206016</v>
      </c>
      <c r="I320" s="5">
        <f>Summary!$E$12*(1+D320)</f>
        <v>5339651.0006805556</v>
      </c>
    </row>
    <row r="321" spans="1:9" ht="15" customHeight="1" x14ac:dyDescent="0.25">
      <c r="A321" s="6" t="s">
        <v>328</v>
      </c>
      <c r="B321" s="7">
        <v>25059.03</v>
      </c>
      <c r="C321" s="8">
        <f t="shared" si="16"/>
        <v>-7.7352918582836994E-3</v>
      </c>
      <c r="D321" s="8">
        <f t="shared" si="17"/>
        <v>0.1038223420351907</v>
      </c>
      <c r="E321" s="7">
        <v>1291.22</v>
      </c>
      <c r="F321" s="8">
        <f t="shared" si="18"/>
        <v>-1.3148532005073932E-3</v>
      </c>
      <c r="G321" s="8">
        <f t="shared" si="19"/>
        <v>0.29122000000000003</v>
      </c>
      <c r="H321" s="9">
        <f>Summary!$E$12*(1+G321)</f>
        <v>6197856</v>
      </c>
      <c r="I321" s="9">
        <f>Summary!$E$12*(1+D321)</f>
        <v>5298347.2417689152</v>
      </c>
    </row>
    <row r="322" spans="1:9" ht="15" customHeight="1" x14ac:dyDescent="0.25">
      <c r="A322" s="2" t="s">
        <v>329</v>
      </c>
      <c r="B322" s="3">
        <v>24984.99</v>
      </c>
      <c r="C322" s="4">
        <f t="shared" si="16"/>
        <v>-2.9546235428904444E-3</v>
      </c>
      <c r="D322" s="4">
        <f t="shared" si="17"/>
        <v>0.10056096255624514</v>
      </c>
      <c r="E322" s="3">
        <v>1289.08</v>
      </c>
      <c r="F322" s="4">
        <f t="shared" si="18"/>
        <v>-1.6573473149424922E-3</v>
      </c>
      <c r="G322" s="4">
        <f t="shared" si="19"/>
        <v>0.28908</v>
      </c>
      <c r="H322" s="5">
        <f>Summary!$E$12*(1+G322)</f>
        <v>6187584</v>
      </c>
      <c r="I322" s="5">
        <f>Summary!$E$12*(1+D322)</f>
        <v>5282692.6202699766</v>
      </c>
    </row>
    <row r="323" spans="1:9" ht="15" customHeight="1" x14ac:dyDescent="0.25">
      <c r="A323" s="6" t="s">
        <v>330</v>
      </c>
      <c r="B323" s="7">
        <v>25017.19</v>
      </c>
      <c r="C323" s="8">
        <f t="shared" ref="C323:C386" si="20">B323/B322-1</f>
        <v>1.2887737797773191E-3</v>
      </c>
      <c r="D323" s="8">
        <f t="shared" ref="D323:D386" si="21">B323/$B$2-1</f>
        <v>0.10197933666783388</v>
      </c>
      <c r="E323" s="7">
        <v>1292.0899999999999</v>
      </c>
      <c r="F323" s="8">
        <f t="shared" ref="F323:F386" si="22">E323/E322-1</f>
        <v>2.3349986036553805E-3</v>
      </c>
      <c r="G323" s="8">
        <f t="shared" ref="G323:G386" si="23">E323/$E$2-1</f>
        <v>0.29208999999999996</v>
      </c>
      <c r="H323" s="9">
        <f>Summary!$E$12*(1+G323)</f>
        <v>6202032</v>
      </c>
      <c r="I323" s="9">
        <f>Summary!$E$12*(1+D323)</f>
        <v>5289500.8160056025</v>
      </c>
    </row>
    <row r="324" spans="1:9" ht="15" customHeight="1" x14ac:dyDescent="0.25">
      <c r="A324" s="2" t="s">
        <v>331</v>
      </c>
      <c r="B324" s="3">
        <v>25077.29</v>
      </c>
      <c r="C324" s="4">
        <f t="shared" si="20"/>
        <v>2.4023481454154005E-3</v>
      </c>
      <c r="D324" s="4">
        <f t="shared" si="21"/>
        <v>0.10462667468356379</v>
      </c>
      <c r="E324" s="3">
        <v>1293.43</v>
      </c>
      <c r="F324" s="4">
        <f t="shared" si="22"/>
        <v>1.0370794604093181E-3</v>
      </c>
      <c r="G324" s="4">
        <f t="shared" si="23"/>
        <v>0.29343000000000008</v>
      </c>
      <c r="H324" s="5">
        <f>Summary!$E$12*(1+G324)</f>
        <v>6208464</v>
      </c>
      <c r="I324" s="5">
        <f>Summary!$E$12*(1+D324)</f>
        <v>5302208.0384811061</v>
      </c>
    </row>
    <row r="325" spans="1:9" ht="15" customHeight="1" x14ac:dyDescent="0.25">
      <c r="A325" s="6" t="s">
        <v>332</v>
      </c>
      <c r="B325" s="7">
        <v>24928.79</v>
      </c>
      <c r="C325" s="8">
        <f t="shared" si="20"/>
        <v>-5.9216924954810235E-3</v>
      </c>
      <c r="D325" s="8">
        <f t="shared" si="21"/>
        <v>9.8085415193782222E-2</v>
      </c>
      <c r="E325" s="7">
        <v>1293.24</v>
      </c>
      <c r="F325" s="8">
        <f t="shared" si="22"/>
        <v>-1.4689623713692868E-4</v>
      </c>
      <c r="G325" s="8">
        <f t="shared" si="23"/>
        <v>0.29323999999999995</v>
      </c>
      <c r="H325" s="9">
        <f>Summary!$E$12*(1+G325)</f>
        <v>6207552</v>
      </c>
      <c r="I325" s="9">
        <f>Summary!$E$12*(1+D325)</f>
        <v>5270809.9929301543</v>
      </c>
    </row>
    <row r="326" spans="1:9" ht="15" customHeight="1" x14ac:dyDescent="0.25">
      <c r="A326" s="2" t="s">
        <v>333</v>
      </c>
      <c r="B326" s="3">
        <v>24864.799999999999</v>
      </c>
      <c r="C326" s="4">
        <f t="shared" si="20"/>
        <v>-2.5669115909757734E-3</v>
      </c>
      <c r="D326" s="4">
        <f t="shared" si="21"/>
        <v>9.5266727013639807E-2</v>
      </c>
      <c r="E326" s="3">
        <v>1293.98</v>
      </c>
      <c r="F326" s="4">
        <f t="shared" si="22"/>
        <v>5.7220624168752288E-4</v>
      </c>
      <c r="G326" s="4">
        <f t="shared" si="23"/>
        <v>0.29397999999999991</v>
      </c>
      <c r="H326" s="5">
        <f>Summary!$E$12*(1+G326)</f>
        <v>6211104</v>
      </c>
      <c r="I326" s="5">
        <f>Summary!$E$12*(1+D326)</f>
        <v>5257280.2896654708</v>
      </c>
    </row>
    <row r="327" spans="1:9" ht="15" customHeight="1" x14ac:dyDescent="0.25">
      <c r="A327" s="6" t="s">
        <v>334</v>
      </c>
      <c r="B327" s="7">
        <v>24911.32</v>
      </c>
      <c r="C327" s="8">
        <f t="shared" si="20"/>
        <v>1.8709179241336305E-3</v>
      </c>
      <c r="D327" s="8">
        <f t="shared" si="21"/>
        <v>9.7315881164916851E-2</v>
      </c>
      <c r="E327" s="7">
        <v>1293.25</v>
      </c>
      <c r="F327" s="8">
        <f t="shared" si="22"/>
        <v>-5.6415091423367425E-4</v>
      </c>
      <c r="G327" s="8">
        <f t="shared" si="23"/>
        <v>0.29325000000000001</v>
      </c>
      <c r="H327" s="9">
        <f>Summary!$E$12*(1+G327)</f>
        <v>6207600</v>
      </c>
      <c r="I327" s="9">
        <f>Summary!$E$12*(1+D327)</f>
        <v>5267116.2295916006</v>
      </c>
    </row>
    <row r="328" spans="1:9" ht="15" customHeight="1" x14ac:dyDescent="0.25">
      <c r="A328" s="2" t="s">
        <v>335</v>
      </c>
      <c r="B328" s="3">
        <v>24771.9</v>
      </c>
      <c r="C328" s="4">
        <f t="shared" si="20"/>
        <v>-5.5966524455548505E-3</v>
      </c>
      <c r="D328" s="4">
        <f t="shared" si="21"/>
        <v>9.1174585555048981E-2</v>
      </c>
      <c r="E328" s="3">
        <v>1289.49</v>
      </c>
      <c r="F328" s="4">
        <f t="shared" si="22"/>
        <v>-2.9074038275661573E-3</v>
      </c>
      <c r="G328" s="4">
        <f t="shared" si="23"/>
        <v>0.28949000000000003</v>
      </c>
      <c r="H328" s="5">
        <f>Summary!$E$12*(1+G328)</f>
        <v>6189552</v>
      </c>
      <c r="I328" s="5">
        <f>Summary!$E$12*(1+D328)</f>
        <v>5237638.0106642349</v>
      </c>
    </row>
    <row r="329" spans="1:9" ht="15" customHeight="1" x14ac:dyDescent="0.25">
      <c r="A329" s="6" t="s">
        <v>336</v>
      </c>
      <c r="B329" s="7">
        <v>24800</v>
      </c>
      <c r="C329" s="8">
        <f t="shared" si="20"/>
        <v>1.1343498076448189E-3</v>
      </c>
      <c r="D329" s="8">
        <f t="shared" si="21"/>
        <v>9.2412359236280439E-2</v>
      </c>
      <c r="E329" s="7">
        <v>1289.73</v>
      </c>
      <c r="F329" s="8">
        <f t="shared" si="22"/>
        <v>1.8612009399054941E-4</v>
      </c>
      <c r="G329" s="8">
        <f t="shared" si="23"/>
        <v>0.28973000000000004</v>
      </c>
      <c r="H329" s="9">
        <f>Summary!$E$12*(1+G329)</f>
        <v>6190704</v>
      </c>
      <c r="I329" s="9">
        <f>Summary!$E$12*(1+D329)</f>
        <v>5243579.3243341465</v>
      </c>
    </row>
    <row r="330" spans="1:9" ht="15" customHeight="1" x14ac:dyDescent="0.25">
      <c r="A330" s="2" t="s">
        <v>337</v>
      </c>
      <c r="B330" s="3">
        <v>24840.400000000001</v>
      </c>
      <c r="C330" s="4">
        <f t="shared" si="20"/>
        <v>1.6290322580645444E-3</v>
      </c>
      <c r="D330" s="4">
        <f t="shared" si="21"/>
        <v>9.4191934208584849E-2</v>
      </c>
      <c r="E330" s="3">
        <v>1291.53</v>
      </c>
      <c r="F330" s="4">
        <f t="shared" si="22"/>
        <v>1.3956409481052923E-3</v>
      </c>
      <c r="G330" s="4">
        <f t="shared" si="23"/>
        <v>0.29153000000000007</v>
      </c>
      <c r="H330" s="5">
        <f>Summary!$E$12*(1+G330)</f>
        <v>6199344</v>
      </c>
      <c r="I330" s="5">
        <f>Summary!$E$12*(1+D330)</f>
        <v>5252121.2842012076</v>
      </c>
    </row>
    <row r="331" spans="1:9" ht="15" customHeight="1" x14ac:dyDescent="0.25">
      <c r="A331" s="6" t="s">
        <v>338</v>
      </c>
      <c r="B331" s="7">
        <v>24756.74</v>
      </c>
      <c r="C331" s="8">
        <f t="shared" si="20"/>
        <v>-3.3679006779279153E-3</v>
      </c>
      <c r="D331" s="8">
        <f t="shared" si="21"/>
        <v>9.0506804451580436E-2</v>
      </c>
      <c r="E331" s="7">
        <v>1291.0999999999999</v>
      </c>
      <c r="F331" s="8">
        <f t="shared" si="22"/>
        <v>-3.3293845284276813E-4</v>
      </c>
      <c r="G331" s="8">
        <f t="shared" si="23"/>
        <v>0.29109999999999991</v>
      </c>
      <c r="H331" s="9">
        <f>Summary!$E$12*(1+G331)</f>
        <v>6197280</v>
      </c>
      <c r="I331" s="9">
        <f>Summary!$E$12*(1+D331)</f>
        <v>5234432.6613675859</v>
      </c>
    </row>
    <row r="332" spans="1:9" ht="15" customHeight="1" x14ac:dyDescent="0.25">
      <c r="A332" s="2" t="s">
        <v>339</v>
      </c>
      <c r="B332" s="3">
        <v>24496.81</v>
      </c>
      <c r="C332" s="4">
        <f t="shared" si="20"/>
        <v>-1.0499363001752249E-2</v>
      </c>
      <c r="D332" s="4">
        <f t="shared" si="21"/>
        <v>7.9057177655762478E-2</v>
      </c>
      <c r="E332" s="3">
        <v>1289.6400000000001</v>
      </c>
      <c r="F332" s="4">
        <f t="shared" si="22"/>
        <v>-1.130818681744139E-3</v>
      </c>
      <c r="G332" s="4">
        <f t="shared" si="23"/>
        <v>0.28964000000000012</v>
      </c>
      <c r="H332" s="5">
        <f>Summary!$E$12*(1+G332)</f>
        <v>6190272.0000000009</v>
      </c>
      <c r="I332" s="5">
        <f>Summary!$E$12*(1+D332)</f>
        <v>5179474.4527476598</v>
      </c>
    </row>
    <row r="333" spans="1:9" ht="15" customHeight="1" x14ac:dyDescent="0.25">
      <c r="A333" s="6" t="s">
        <v>340</v>
      </c>
      <c r="B333" s="7">
        <v>24486.21</v>
      </c>
      <c r="C333" s="8">
        <f t="shared" si="20"/>
        <v>-4.3270940175488271E-4</v>
      </c>
      <c r="D333" s="8">
        <f t="shared" si="21"/>
        <v>7.8590259469959678E-2</v>
      </c>
      <c r="E333" s="7">
        <v>1290.95</v>
      </c>
      <c r="F333" s="8">
        <f t="shared" si="22"/>
        <v>1.0157873515088678E-3</v>
      </c>
      <c r="G333" s="8">
        <f t="shared" si="23"/>
        <v>0.29095000000000004</v>
      </c>
      <c r="H333" s="9">
        <f>Summary!$E$12*(1+G333)</f>
        <v>6196560</v>
      </c>
      <c r="I333" s="9">
        <f>Summary!$E$12*(1+D333)</f>
        <v>5177233.2454558061</v>
      </c>
    </row>
    <row r="334" spans="1:9" ht="15" customHeight="1" x14ac:dyDescent="0.25">
      <c r="A334" s="2" t="s">
        <v>341</v>
      </c>
      <c r="B334" s="3">
        <v>24336.11</v>
      </c>
      <c r="C334" s="4">
        <f t="shared" si="20"/>
        <v>-6.1299809157888685E-3</v>
      </c>
      <c r="D334" s="4">
        <f t="shared" si="21"/>
        <v>7.1978521763453207E-2</v>
      </c>
      <c r="E334" s="3">
        <v>1287.96</v>
      </c>
      <c r="F334" s="4">
        <f t="shared" si="22"/>
        <v>-2.3161237848096095E-3</v>
      </c>
      <c r="G334" s="4">
        <f t="shared" si="23"/>
        <v>0.28795999999999999</v>
      </c>
      <c r="H334" s="5">
        <f>Summary!$E$12*(1+G334)</f>
        <v>6182208</v>
      </c>
      <c r="I334" s="5">
        <f>Summary!$E$12*(1+D334)</f>
        <v>5145496.9044645755</v>
      </c>
    </row>
    <row r="335" spans="1:9" ht="15" customHeight="1" x14ac:dyDescent="0.25">
      <c r="A335" s="6" t="s">
        <v>342</v>
      </c>
      <c r="B335" s="7">
        <v>24468.36</v>
      </c>
      <c r="C335" s="8">
        <f t="shared" si="20"/>
        <v>5.4343113998087667E-3</v>
      </c>
      <c r="D335" s="8">
        <f t="shared" si="21"/>
        <v>7.780398686462231E-2</v>
      </c>
      <c r="E335" s="7">
        <v>1290.03</v>
      </c>
      <c r="F335" s="8">
        <f t="shared" si="22"/>
        <v>1.607192769961685E-3</v>
      </c>
      <c r="G335" s="8">
        <f t="shared" si="23"/>
        <v>0.29003000000000001</v>
      </c>
      <c r="H335" s="9">
        <f>Summary!$E$12*(1+G335)</f>
        <v>6192144</v>
      </c>
      <c r="I335" s="9">
        <f>Summary!$E$12*(1+D335)</f>
        <v>5173459.1369501874</v>
      </c>
    </row>
    <row r="336" spans="1:9" ht="15" customHeight="1" x14ac:dyDescent="0.25">
      <c r="A336" s="2" t="s">
        <v>343</v>
      </c>
      <c r="B336" s="3">
        <v>24338.62</v>
      </c>
      <c r="C336" s="4">
        <f t="shared" si="20"/>
        <v>-5.3023578204669519E-3</v>
      </c>
      <c r="D336" s="4">
        <f t="shared" si="21"/>
        <v>7.2089084465940312E-2</v>
      </c>
      <c r="E336" s="3">
        <v>1291.28</v>
      </c>
      <c r="F336" s="4">
        <f t="shared" si="22"/>
        <v>9.6896971388260589E-4</v>
      </c>
      <c r="G336" s="4">
        <f t="shared" si="23"/>
        <v>0.29127999999999998</v>
      </c>
      <c r="H336" s="5">
        <f>Summary!$E$12*(1+G336)</f>
        <v>6198144</v>
      </c>
      <c r="I336" s="5">
        <f>Summary!$E$12*(1+D336)</f>
        <v>5146027.6054365132</v>
      </c>
    </row>
    <row r="337" spans="1:9" ht="15" customHeight="1" x14ac:dyDescent="0.25">
      <c r="A337" s="6" t="s">
        <v>344</v>
      </c>
      <c r="B337" s="7">
        <v>24463.53</v>
      </c>
      <c r="C337" s="8">
        <f t="shared" si="20"/>
        <v>5.1321726539959034E-3</v>
      </c>
      <c r="D337" s="8">
        <f t="shared" si="21"/>
        <v>7.7591230747883877E-2</v>
      </c>
      <c r="E337" s="7">
        <v>1292.28</v>
      </c>
      <c r="F337" s="8">
        <f t="shared" si="22"/>
        <v>7.7442537637062436E-4</v>
      </c>
      <c r="G337" s="8">
        <f t="shared" si="23"/>
        <v>0.29227999999999987</v>
      </c>
      <c r="H337" s="9">
        <f>Summary!$E$12*(1+G337)</f>
        <v>6202943.9999999991</v>
      </c>
      <c r="I337" s="9">
        <f>Summary!$E$12*(1+D337)</f>
        <v>5172437.9075898426</v>
      </c>
    </row>
    <row r="338" spans="1:9" ht="15" customHeight="1" x14ac:dyDescent="0.25">
      <c r="A338" s="2" t="s">
        <v>345</v>
      </c>
      <c r="B338" s="3">
        <v>24705.599999999999</v>
      </c>
      <c r="C338" s="4">
        <f t="shared" si="20"/>
        <v>9.8951377826503872E-3</v>
      </c>
      <c r="D338" s="4">
        <f t="shared" si="21"/>
        <v>8.8254144449509964E-2</v>
      </c>
      <c r="E338" s="3">
        <v>1292.81</v>
      </c>
      <c r="F338" s="4">
        <f t="shared" si="22"/>
        <v>4.1012783607263792E-4</v>
      </c>
      <c r="G338" s="4">
        <f t="shared" si="23"/>
        <v>0.29281000000000001</v>
      </c>
      <c r="H338" s="5">
        <f>Summary!$E$12*(1+G338)</f>
        <v>6205488</v>
      </c>
      <c r="I338" s="5">
        <f>Summary!$E$12*(1+D338)</f>
        <v>5223619.8933576476</v>
      </c>
    </row>
    <row r="339" spans="1:9" ht="15" customHeight="1" x14ac:dyDescent="0.25">
      <c r="A339" s="6" t="s">
        <v>346</v>
      </c>
      <c r="B339" s="7">
        <v>24690.16</v>
      </c>
      <c r="C339" s="8">
        <f t="shared" si="20"/>
        <v>-6.2495952334684635E-4</v>
      </c>
      <c r="D339" s="8">
        <f t="shared" si="21"/>
        <v>8.7574029658114672E-2</v>
      </c>
      <c r="E339" s="7">
        <v>1292.72</v>
      </c>
      <c r="F339" s="8">
        <f t="shared" si="22"/>
        <v>-6.9615798145017393E-5</v>
      </c>
      <c r="G339" s="8">
        <f t="shared" si="23"/>
        <v>0.29272000000000009</v>
      </c>
      <c r="H339" s="9">
        <f>Summary!$E$12*(1+G339)</f>
        <v>6205056</v>
      </c>
      <c r="I339" s="9">
        <f>Summary!$E$12*(1+D339)</f>
        <v>5220355.3423589505</v>
      </c>
    </row>
    <row r="340" spans="1:9" ht="15" customHeight="1" x14ac:dyDescent="0.25">
      <c r="A340" s="2" t="s">
        <v>347</v>
      </c>
      <c r="B340" s="3">
        <v>24665.38</v>
      </c>
      <c r="C340" s="4">
        <f t="shared" si="20"/>
        <v>-1.0036386965495137E-3</v>
      </c>
      <c r="D340" s="4">
        <f t="shared" si="21"/>
        <v>8.6482498276587494E-2</v>
      </c>
      <c r="E340" s="3">
        <v>1292.25</v>
      </c>
      <c r="F340" s="4">
        <f t="shared" si="22"/>
        <v>-3.6357447861878889E-4</v>
      </c>
      <c r="G340" s="4">
        <f t="shared" si="23"/>
        <v>0.2922499999999999</v>
      </c>
      <c r="H340" s="5">
        <f>Summary!$E$12*(1+G340)</f>
        <v>6202799.9999999991</v>
      </c>
      <c r="I340" s="5">
        <f>Summary!$E$12*(1+D340)</f>
        <v>5215115.9917276204</v>
      </c>
    </row>
    <row r="341" spans="1:9" ht="15" customHeight="1" x14ac:dyDescent="0.25">
      <c r="A341" s="6" t="s">
        <v>348</v>
      </c>
      <c r="B341" s="7">
        <v>24506.51</v>
      </c>
      <c r="C341" s="8">
        <f t="shared" si="20"/>
        <v>-6.4410116527701122E-3</v>
      </c>
      <c r="D341" s="8">
        <f t="shared" si="21"/>
        <v>7.9484451844657134E-2</v>
      </c>
      <c r="E341" s="7">
        <v>1291.4100000000001</v>
      </c>
      <c r="F341" s="8">
        <f t="shared" si="22"/>
        <v>-6.5002901915256484E-4</v>
      </c>
      <c r="G341" s="8">
        <f t="shared" si="23"/>
        <v>0.29141000000000017</v>
      </c>
      <c r="H341" s="9">
        <f>Summary!$E$12*(1+G341)</f>
        <v>6198768.0000000009</v>
      </c>
      <c r="I341" s="9">
        <f>Summary!$E$12*(1+D341)</f>
        <v>5181525.3688543541</v>
      </c>
    </row>
    <row r="342" spans="1:9" ht="15" customHeight="1" x14ac:dyDescent="0.25">
      <c r="A342" s="2" t="s">
        <v>349</v>
      </c>
      <c r="B342" s="3">
        <v>24422.23</v>
      </c>
      <c r="C342" s="4">
        <f t="shared" si="20"/>
        <v>-3.4390861856705701E-3</v>
      </c>
      <c r="D342" s="4">
        <f t="shared" si="21"/>
        <v>7.5772011778671988E-2</v>
      </c>
      <c r="E342" s="3">
        <v>1289.82</v>
      </c>
      <c r="F342" s="4">
        <f t="shared" si="22"/>
        <v>-1.2312123957536336E-3</v>
      </c>
      <c r="G342" s="4">
        <f t="shared" si="23"/>
        <v>0.28981999999999997</v>
      </c>
      <c r="H342" s="5">
        <f>Summary!$E$12*(1+G342)</f>
        <v>6191136</v>
      </c>
      <c r="I342" s="5">
        <f>Summary!$E$12*(1+D342)</f>
        <v>5163705.6565376259</v>
      </c>
    </row>
    <row r="343" spans="1:9" ht="15" customHeight="1" x14ac:dyDescent="0.25">
      <c r="A343" s="6" t="s">
        <v>350</v>
      </c>
      <c r="B343" s="7">
        <v>24442.77</v>
      </c>
      <c r="C343" s="8">
        <f t="shared" si="20"/>
        <v>8.4103703879634395E-4</v>
      </c>
      <c r="D343" s="8">
        <f t="shared" si="21"/>
        <v>7.6676775885878179E-2</v>
      </c>
      <c r="E343" s="7">
        <v>1290.48</v>
      </c>
      <c r="F343" s="8">
        <f t="shared" si="22"/>
        <v>5.1169930688010901E-4</v>
      </c>
      <c r="G343" s="8">
        <f t="shared" si="23"/>
        <v>0.29048000000000007</v>
      </c>
      <c r="H343" s="9">
        <f>Summary!$E$12*(1+G343)</f>
        <v>6194304</v>
      </c>
      <c r="I343" s="9">
        <f>Summary!$E$12*(1+D343)</f>
        <v>5168048.5242522154</v>
      </c>
    </row>
    <row r="344" spans="1:9" ht="15" customHeight="1" x14ac:dyDescent="0.25">
      <c r="A344" s="2" t="s">
        <v>351</v>
      </c>
      <c r="B344" s="3">
        <v>24646.11</v>
      </c>
      <c r="C344" s="4">
        <f t="shared" si="20"/>
        <v>8.3190243986257517E-3</v>
      </c>
      <c r="D344" s="4">
        <f t="shared" si="21"/>
        <v>8.5633676253906721E-2</v>
      </c>
      <c r="E344" s="3">
        <v>1290.3800000000001</v>
      </c>
      <c r="F344" s="4">
        <f t="shared" si="22"/>
        <v>-7.7490546153247131E-5</v>
      </c>
      <c r="G344" s="4">
        <f t="shared" si="23"/>
        <v>0.29038000000000008</v>
      </c>
      <c r="H344" s="5">
        <f>Summary!$E$12*(1+G344)</f>
        <v>6193824</v>
      </c>
      <c r="I344" s="5">
        <f>Summary!$E$12*(1+D344)</f>
        <v>5211041.6460187519</v>
      </c>
    </row>
    <row r="345" spans="1:9" ht="15" customHeight="1" x14ac:dyDescent="0.25">
      <c r="A345" s="6" t="s">
        <v>352</v>
      </c>
      <c r="B345" s="7">
        <v>24732.77</v>
      </c>
      <c r="C345" s="8">
        <f t="shared" si="20"/>
        <v>3.5161735462512222E-3</v>
      </c>
      <c r="D345" s="8">
        <f t="shared" si="21"/>
        <v>8.9450952667270212E-2</v>
      </c>
      <c r="E345" s="7">
        <v>1292.6199999999999</v>
      </c>
      <c r="F345" s="8">
        <f t="shared" si="22"/>
        <v>1.7359227514373021E-3</v>
      </c>
      <c r="G345" s="8">
        <f t="shared" si="23"/>
        <v>0.29261999999999988</v>
      </c>
      <c r="H345" s="9">
        <f>Summary!$E$12*(1+G345)</f>
        <v>6204575.9999999991</v>
      </c>
      <c r="I345" s="9">
        <f>Summary!$E$12*(1+D345)</f>
        <v>5229364.5728028966</v>
      </c>
    </row>
    <row r="346" spans="1:9" ht="15" customHeight="1" x14ac:dyDescent="0.25">
      <c r="A346" s="2" t="s">
        <v>353</v>
      </c>
      <c r="B346" s="3">
        <v>24507.4</v>
      </c>
      <c r="C346" s="4">
        <f t="shared" si="20"/>
        <v>-9.1122021512349827E-3</v>
      </c>
      <c r="D346" s="4">
        <f t="shared" si="21"/>
        <v>7.9523655352710554E-2</v>
      </c>
      <c r="E346" s="3">
        <v>1292.44</v>
      </c>
      <c r="F346" s="4">
        <f t="shared" si="22"/>
        <v>-1.3925206170395388E-4</v>
      </c>
      <c r="G346" s="4">
        <f t="shared" si="23"/>
        <v>0.29244000000000003</v>
      </c>
      <c r="H346" s="5">
        <f>Summary!$E$12*(1+G346)</f>
        <v>6203712</v>
      </c>
      <c r="I346" s="5">
        <f>Summary!$E$12*(1+D346)</f>
        <v>5181713.545693011</v>
      </c>
    </row>
    <row r="347" spans="1:9" ht="15" customHeight="1" x14ac:dyDescent="0.25">
      <c r="A347" s="6" t="s">
        <v>354</v>
      </c>
      <c r="B347" s="7">
        <v>24601.07</v>
      </c>
      <c r="C347" s="8">
        <f t="shared" si="20"/>
        <v>3.8221108726343989E-3</v>
      </c>
      <c r="D347" s="8">
        <f t="shared" si="21"/>
        <v>8.3649714453100099E-2</v>
      </c>
      <c r="E347" s="7">
        <v>1295.27</v>
      </c>
      <c r="F347" s="8">
        <f t="shared" si="22"/>
        <v>2.1896567732351269E-3</v>
      </c>
      <c r="G347" s="8">
        <f t="shared" si="23"/>
        <v>0.29526999999999992</v>
      </c>
      <c r="H347" s="9">
        <f>Summary!$E$12*(1+G347)</f>
        <v>6217296</v>
      </c>
      <c r="I347" s="9">
        <f>Summary!$E$12*(1+D347)</f>
        <v>5201518.6293748803</v>
      </c>
    </row>
    <row r="348" spans="1:9" ht="15" customHeight="1" x14ac:dyDescent="0.25">
      <c r="A348" s="2" t="s">
        <v>355</v>
      </c>
      <c r="B348" s="3">
        <v>24393.16</v>
      </c>
      <c r="C348" s="4">
        <f t="shared" si="20"/>
        <v>-8.4512584208735753E-3</v>
      </c>
      <c r="D348" s="4">
        <f t="shared" si="21"/>
        <v>7.4491510678551087E-2</v>
      </c>
      <c r="E348" s="3">
        <v>1291.6600000000001</v>
      </c>
      <c r="F348" s="4">
        <f t="shared" si="22"/>
        <v>-2.7870637010043442E-3</v>
      </c>
      <c r="G348" s="4">
        <f t="shared" si="23"/>
        <v>0.29166000000000003</v>
      </c>
      <c r="H348" s="5">
        <f>Summary!$E$12*(1+G348)</f>
        <v>6199968</v>
      </c>
      <c r="I348" s="5">
        <f>Summary!$E$12*(1+D348)</f>
        <v>5157559.2512570452</v>
      </c>
    </row>
    <row r="349" spans="1:9" ht="15" customHeight="1" x14ac:dyDescent="0.25">
      <c r="A349" s="6" t="s">
        <v>356</v>
      </c>
      <c r="B349" s="7">
        <v>24568.5</v>
      </c>
      <c r="C349" s="8">
        <f t="shared" si="20"/>
        <v>7.1880805930844005E-3</v>
      </c>
      <c r="D349" s="8">
        <f t="shared" si="21"/>
        <v>8.2215042253893422E-2</v>
      </c>
      <c r="E349" s="7">
        <v>1294.22</v>
      </c>
      <c r="F349" s="8">
        <f t="shared" si="22"/>
        <v>1.9819457132681517E-3</v>
      </c>
      <c r="G349" s="8">
        <f t="shared" si="23"/>
        <v>0.29421999999999993</v>
      </c>
      <c r="H349" s="9">
        <f>Summary!$E$12*(1+G349)</f>
        <v>6212256</v>
      </c>
      <c r="I349" s="9">
        <f>Summary!$E$12*(1+D349)</f>
        <v>5194632.202818688</v>
      </c>
    </row>
    <row r="350" spans="1:9" ht="15" customHeight="1" x14ac:dyDescent="0.25">
      <c r="A350" s="2" t="s">
        <v>357</v>
      </c>
      <c r="B350" s="3">
        <v>24581.1</v>
      </c>
      <c r="C350" s="4">
        <f t="shared" si="20"/>
        <v>5.1285182245552896E-4</v>
      </c>
      <c r="D350" s="4">
        <f t="shared" si="21"/>
        <v>8.2770058210602127E-2</v>
      </c>
      <c r="E350" s="3">
        <v>1291.21</v>
      </c>
      <c r="F350" s="4">
        <f t="shared" si="22"/>
        <v>-2.3257251471928697E-3</v>
      </c>
      <c r="G350" s="4">
        <f t="shared" si="23"/>
        <v>0.29120999999999997</v>
      </c>
      <c r="H350" s="5">
        <f>Summary!$E$12*(1+G350)</f>
        <v>6197808</v>
      </c>
      <c r="I350" s="5">
        <f>Summary!$E$12*(1+D350)</f>
        <v>5197296.2794108903</v>
      </c>
    </row>
    <row r="351" spans="1:9" ht="15" customHeight="1" x14ac:dyDescent="0.25">
      <c r="A351" s="6" t="s">
        <v>358</v>
      </c>
      <c r="B351" s="7">
        <v>24766.17</v>
      </c>
      <c r="C351" s="8">
        <f t="shared" si="20"/>
        <v>7.5289551728767723E-3</v>
      </c>
      <c r="D351" s="8">
        <f t="shared" si="21"/>
        <v>9.0922185441402847E-2</v>
      </c>
      <c r="E351" s="7">
        <v>1293.82</v>
      </c>
      <c r="F351" s="8">
        <f t="shared" si="22"/>
        <v>2.0213598097906793E-3</v>
      </c>
      <c r="G351" s="8">
        <f t="shared" si="23"/>
        <v>0.29381999999999997</v>
      </c>
      <c r="H351" s="9">
        <f>Summary!$E$12*(1+G351)</f>
        <v>6210336</v>
      </c>
      <c r="I351" s="9">
        <f>Summary!$E$12*(1+D351)</f>
        <v>5236426.4901187336</v>
      </c>
    </row>
    <row r="352" spans="1:9" ht="15" customHeight="1" x14ac:dyDescent="0.25">
      <c r="A352" s="2" t="s">
        <v>359</v>
      </c>
      <c r="B352" s="3">
        <v>24843.9</v>
      </c>
      <c r="C352" s="4">
        <f t="shared" si="20"/>
        <v>3.1385555376548524E-3</v>
      </c>
      <c r="D352" s="4">
        <f t="shared" si="21"/>
        <v>9.4346105307670625E-2</v>
      </c>
      <c r="E352" s="3">
        <v>1294.8900000000001</v>
      </c>
      <c r="F352" s="4">
        <f t="shared" si="22"/>
        <v>8.2700839374894031E-4</v>
      </c>
      <c r="G352" s="4">
        <f t="shared" si="23"/>
        <v>0.2948900000000001</v>
      </c>
      <c r="H352" s="5">
        <f>Summary!$E$12*(1+G352)</f>
        <v>6215472</v>
      </c>
      <c r="I352" s="5">
        <f>Summary!$E$12*(1+D352)</f>
        <v>5252861.3054768192</v>
      </c>
    </row>
    <row r="353" spans="1:9" ht="15" customHeight="1" x14ac:dyDescent="0.25">
      <c r="A353" s="6" t="s">
        <v>360</v>
      </c>
      <c r="B353" s="7">
        <v>24656.43</v>
      </c>
      <c r="C353" s="8">
        <f t="shared" si="20"/>
        <v>-7.545916703899147E-3</v>
      </c>
      <c r="D353" s="8">
        <f t="shared" si="21"/>
        <v>8.6088260751782331E-2</v>
      </c>
      <c r="E353" s="7">
        <v>1292.1099999999999</v>
      </c>
      <c r="F353" s="8">
        <f t="shared" si="22"/>
        <v>-2.1469005089237436E-3</v>
      </c>
      <c r="G353" s="8">
        <f t="shared" si="23"/>
        <v>0.29210999999999987</v>
      </c>
      <c r="H353" s="9">
        <f>Summary!$E$12*(1+G353)</f>
        <v>6202127.9999999991</v>
      </c>
      <c r="I353" s="9">
        <f>Summary!$E$12*(1+D353)</f>
        <v>5213223.6516085556</v>
      </c>
    </row>
    <row r="354" spans="1:9" ht="15" customHeight="1" x14ac:dyDescent="0.25">
      <c r="A354" s="2" t="s">
        <v>361</v>
      </c>
      <c r="B354" s="3">
        <v>24752.55</v>
      </c>
      <c r="C354" s="4">
        <f t="shared" si="20"/>
        <v>3.8983745822083193E-3</v>
      </c>
      <c r="D354" s="4">
        <f t="shared" si="21"/>
        <v>9.0322239621531963E-2</v>
      </c>
      <c r="E354" s="3">
        <v>1293.8599999999999</v>
      </c>
      <c r="F354" s="4">
        <f t="shared" si="22"/>
        <v>1.3543738536192507E-3</v>
      </c>
      <c r="G354" s="4">
        <f t="shared" si="23"/>
        <v>0.29386000000000001</v>
      </c>
      <c r="H354" s="5">
        <f>Summary!$E$12*(1+G354)</f>
        <v>6210528</v>
      </c>
      <c r="I354" s="5">
        <f>Summary!$E$12*(1+D354)</f>
        <v>5233546.7501833532</v>
      </c>
    </row>
    <row r="355" spans="1:9" ht="15" customHeight="1" x14ac:dyDescent="0.25">
      <c r="A355" s="6" t="s">
        <v>362</v>
      </c>
      <c r="B355" s="7">
        <v>24648.75</v>
      </c>
      <c r="C355" s="8">
        <f t="shared" si="20"/>
        <v>-4.19350733560786E-3</v>
      </c>
      <c r="D355" s="8">
        <f t="shared" si="21"/>
        <v>8.5749965311502807E-2</v>
      </c>
      <c r="E355" s="7">
        <v>1293.27</v>
      </c>
      <c r="F355" s="8">
        <f t="shared" si="22"/>
        <v>-4.5599987633893058E-4</v>
      </c>
      <c r="G355" s="8">
        <f t="shared" si="23"/>
        <v>0.29326999999999992</v>
      </c>
      <c r="H355" s="9">
        <f>Summary!$E$12*(1+G355)</f>
        <v>6207696</v>
      </c>
      <c r="I355" s="9">
        <f>Summary!$E$12*(1+D355)</f>
        <v>5211599.8334952137</v>
      </c>
    </row>
    <row r="356" spans="1:9" ht="15" customHeight="1" x14ac:dyDescent="0.25">
      <c r="A356" s="2" t="s">
        <v>363</v>
      </c>
      <c r="B356" s="3">
        <v>24533.42</v>
      </c>
      <c r="C356" s="4">
        <f t="shared" si="20"/>
        <v>-4.6789390942746367E-3</v>
      </c>
      <c r="D356" s="4">
        <f t="shared" si="21"/>
        <v>8.0669807352199419E-2</v>
      </c>
      <c r="E356" s="3">
        <v>1293.49</v>
      </c>
      <c r="F356" s="4">
        <f t="shared" si="22"/>
        <v>1.7011142298217763E-4</v>
      </c>
      <c r="G356" s="4">
        <f t="shared" si="23"/>
        <v>0.29349000000000003</v>
      </c>
      <c r="H356" s="5">
        <f>Summary!$E$12*(1+G356)</f>
        <v>6208752</v>
      </c>
      <c r="I356" s="5">
        <f>Summary!$E$12*(1+D356)</f>
        <v>5187215.075290557</v>
      </c>
    </row>
    <row r="357" spans="1:9" ht="15" customHeight="1" x14ac:dyDescent="0.25">
      <c r="A357" s="6" t="s">
        <v>364</v>
      </c>
      <c r="B357" s="7">
        <v>24512.98</v>
      </c>
      <c r="C357" s="8">
        <f t="shared" si="20"/>
        <v>-8.3314923072275171E-4</v>
      </c>
      <c r="D357" s="8">
        <f t="shared" si="21"/>
        <v>7.9769448133538701E-2</v>
      </c>
      <c r="E357" s="7">
        <v>1293.75</v>
      </c>
      <c r="F357" s="8">
        <f t="shared" si="22"/>
        <v>2.0100657910004927E-4</v>
      </c>
      <c r="G357" s="8">
        <f t="shared" si="23"/>
        <v>0.29374999999999996</v>
      </c>
      <c r="H357" s="9">
        <f>Summary!$E$12*(1+G357)</f>
        <v>6210000</v>
      </c>
      <c r="I357" s="9">
        <f>Summary!$E$12*(1+D357)</f>
        <v>5182893.3510409854</v>
      </c>
    </row>
    <row r="358" spans="1:9" ht="15" customHeight="1" x14ac:dyDescent="0.25">
      <c r="A358" s="2" t="s">
        <v>365</v>
      </c>
      <c r="B358" s="3">
        <v>24334.2</v>
      </c>
      <c r="C358" s="4">
        <f t="shared" si="20"/>
        <v>-7.2932789077460036E-3</v>
      </c>
      <c r="D358" s="4">
        <f t="shared" si="21"/>
        <v>7.1894388392237829E-2</v>
      </c>
      <c r="E358" s="3">
        <v>1292.48</v>
      </c>
      <c r="F358" s="4">
        <f t="shared" si="22"/>
        <v>-9.8164251207732978E-4</v>
      </c>
      <c r="G358" s="4">
        <f t="shared" si="23"/>
        <v>0.29248000000000007</v>
      </c>
      <c r="H358" s="5">
        <f>Summary!$E$12*(1+G358)</f>
        <v>6203904</v>
      </c>
      <c r="I358" s="5">
        <f>Summary!$E$12*(1+D358)</f>
        <v>5145093.0642827414</v>
      </c>
    </row>
    <row r="359" spans="1:9" ht="15" customHeight="1" x14ac:dyDescent="0.25">
      <c r="A359" s="6" t="s">
        <v>366</v>
      </c>
      <c r="B359" s="7">
        <v>24334.2</v>
      </c>
      <c r="C359" s="8">
        <f t="shared" si="20"/>
        <v>0</v>
      </c>
      <c r="D359" s="8">
        <f t="shared" si="21"/>
        <v>7.1894388392237829E-2</v>
      </c>
      <c r="E359" s="7">
        <v>1290.55</v>
      </c>
      <c r="F359" s="8">
        <f t="shared" si="22"/>
        <v>-1.4932532805150833E-3</v>
      </c>
      <c r="G359" s="8">
        <f t="shared" si="23"/>
        <v>0.29054999999999986</v>
      </c>
      <c r="H359" s="9">
        <f>Summary!$E$12*(1+G359)</f>
        <v>6194639.9999999991</v>
      </c>
      <c r="I359" s="9">
        <f>Summary!$E$12*(1+D359)</f>
        <v>5145093.0642827414</v>
      </c>
    </row>
    <row r="360" spans="1:9" ht="15" customHeight="1" x14ac:dyDescent="0.25">
      <c r="A360" s="2" t="s">
        <v>367</v>
      </c>
      <c r="B360" s="3">
        <v>24334.2</v>
      </c>
      <c r="C360" s="4">
        <f t="shared" si="20"/>
        <v>0</v>
      </c>
      <c r="D360" s="4">
        <f t="shared" si="21"/>
        <v>7.1894388392237829E-2</v>
      </c>
      <c r="E360" s="3">
        <v>1289.54</v>
      </c>
      <c r="F360" s="4">
        <f t="shared" si="22"/>
        <v>-7.8261206462360011E-4</v>
      </c>
      <c r="G360" s="4">
        <f t="shared" si="23"/>
        <v>0.28953999999999991</v>
      </c>
      <c r="H360" s="5">
        <f>Summary!$E$12*(1+G360)</f>
        <v>6189792</v>
      </c>
      <c r="I360" s="5">
        <f>Summary!$E$12*(1+D360)</f>
        <v>5145093.0642827414</v>
      </c>
    </row>
    <row r="361" spans="1:9" ht="15" customHeight="1" x14ac:dyDescent="0.25">
      <c r="A361" s="6" t="s">
        <v>368</v>
      </c>
      <c r="B361" s="7">
        <v>24452.17</v>
      </c>
      <c r="C361" s="8">
        <f t="shared" si="20"/>
        <v>4.8479095265099303E-3</v>
      </c>
      <c r="D361" s="8">
        <f t="shared" si="21"/>
        <v>7.7090835409137082E-2</v>
      </c>
      <c r="E361" s="7">
        <v>1290.57</v>
      </c>
      <c r="F361" s="8">
        <f t="shared" si="22"/>
        <v>7.98734432433168E-4</v>
      </c>
      <c r="G361" s="8">
        <f t="shared" si="23"/>
        <v>0.29056999999999999</v>
      </c>
      <c r="H361" s="9">
        <f>Summary!$E$12*(1+G361)</f>
        <v>6194736</v>
      </c>
      <c r="I361" s="9">
        <f>Summary!$E$12*(1+D361)</f>
        <v>5170036.0099638579</v>
      </c>
    </row>
    <row r="362" spans="1:9" ht="15" customHeight="1" x14ac:dyDescent="0.25">
      <c r="A362" s="2" t="s">
        <v>369</v>
      </c>
      <c r="B362" s="3">
        <v>24355.84</v>
      </c>
      <c r="C362" s="4">
        <f t="shared" si="20"/>
        <v>-3.9395276574634153E-3</v>
      </c>
      <c r="D362" s="4">
        <f t="shared" si="21"/>
        <v>7.2847606273442223E-2</v>
      </c>
      <c r="E362" s="3">
        <v>1290.23</v>
      </c>
      <c r="F362" s="4">
        <f t="shared" si="22"/>
        <v>-2.6344948356149533E-4</v>
      </c>
      <c r="G362" s="4">
        <f t="shared" si="23"/>
        <v>0.29022999999999999</v>
      </c>
      <c r="H362" s="5">
        <f>Summary!$E$12*(1+G362)</f>
        <v>6193104</v>
      </c>
      <c r="I362" s="5">
        <f>Summary!$E$12*(1+D362)</f>
        <v>5149668.5101125231</v>
      </c>
    </row>
    <row r="363" spans="1:9" ht="15" customHeight="1" x14ac:dyDescent="0.25">
      <c r="A363" s="6" t="s">
        <v>370</v>
      </c>
      <c r="B363" s="7">
        <v>24334.2</v>
      </c>
      <c r="C363" s="8">
        <f t="shared" si="20"/>
        <v>-8.8849327307127801E-4</v>
      </c>
      <c r="D363" s="8">
        <f t="shared" si="21"/>
        <v>7.1894388392237829E-2</v>
      </c>
      <c r="E363" s="7">
        <v>1290.33</v>
      </c>
      <c r="F363" s="8">
        <f t="shared" si="22"/>
        <v>7.7505561024038272E-5</v>
      </c>
      <c r="G363" s="8">
        <f t="shared" si="23"/>
        <v>0.29032999999999998</v>
      </c>
      <c r="H363" s="9">
        <f>Summary!$E$12*(1+G363)</f>
        <v>6193584</v>
      </c>
      <c r="I363" s="9">
        <f>Summary!$E$12*(1+D363)</f>
        <v>5145093.0642827414</v>
      </c>
    </row>
    <row r="364" spans="1:9" ht="15" customHeight="1" x14ac:dyDescent="0.25">
      <c r="A364" s="2" t="s">
        <v>371</v>
      </c>
      <c r="B364" s="3">
        <v>24474.959999999999</v>
      </c>
      <c r="C364" s="4">
        <f t="shared" si="20"/>
        <v>5.7844515126856955E-3</v>
      </c>
      <c r="D364" s="4">
        <f t="shared" si="21"/>
        <v>7.8094709508612636E-2</v>
      </c>
      <c r="E364" s="3">
        <v>1293.9000000000001</v>
      </c>
      <c r="F364" s="4">
        <f t="shared" si="22"/>
        <v>2.7667340912791438E-3</v>
      </c>
      <c r="G364" s="4">
        <f t="shared" si="23"/>
        <v>0.29390000000000005</v>
      </c>
      <c r="H364" s="5">
        <f>Summary!$E$12*(1+G364)</f>
        <v>6210720</v>
      </c>
      <c r="I364" s="5">
        <f>Summary!$E$12*(1+D364)</f>
        <v>5174854.6056413408</v>
      </c>
    </row>
    <row r="365" spans="1:9" ht="15" customHeight="1" x14ac:dyDescent="0.25">
      <c r="A365" s="6" t="s">
        <v>372</v>
      </c>
      <c r="B365" s="7">
        <v>24658.97</v>
      </c>
      <c r="C365" s="8">
        <f t="shared" si="20"/>
        <v>7.5182962505353501E-3</v>
      </c>
      <c r="D365" s="8">
        <f t="shared" si="21"/>
        <v>8.6200144920833166E-2</v>
      </c>
      <c r="E365" s="7">
        <v>1295.17</v>
      </c>
      <c r="F365" s="8">
        <f t="shared" si="22"/>
        <v>9.8152871164702837E-4</v>
      </c>
      <c r="G365" s="8">
        <f t="shared" si="23"/>
        <v>0.29517000000000015</v>
      </c>
      <c r="H365" s="9">
        <f>Summary!$E$12*(1+G365)</f>
        <v>6216816.0000000009</v>
      </c>
      <c r="I365" s="9">
        <f>Summary!$E$12*(1+D365)</f>
        <v>5213760.6956199994</v>
      </c>
    </row>
    <row r="366" spans="1:9" ht="15" customHeight="1" x14ac:dyDescent="0.25">
      <c r="A366" s="2" t="s">
        <v>373</v>
      </c>
      <c r="B366" s="3">
        <v>24397.85</v>
      </c>
      <c r="C366" s="4">
        <f t="shared" si="20"/>
        <v>-1.0589250078166357E-2</v>
      </c>
      <c r="D366" s="4">
        <f t="shared" si="21"/>
        <v>7.4698099951326036E-2</v>
      </c>
      <c r="E366" s="3">
        <v>1292.48</v>
      </c>
      <c r="F366" s="4">
        <f t="shared" si="22"/>
        <v>-2.0769474277508859E-3</v>
      </c>
      <c r="G366" s="4">
        <f t="shared" si="23"/>
        <v>0.29248000000000007</v>
      </c>
      <c r="H366" s="5">
        <f>Summary!$E$12*(1+G366)</f>
        <v>6203904</v>
      </c>
      <c r="I366" s="5">
        <f>Summary!$E$12*(1+D366)</f>
        <v>5158550.8797663646</v>
      </c>
    </row>
    <row r="367" spans="1:9" ht="15" customHeight="1" x14ac:dyDescent="0.25">
      <c r="A367" s="6" t="s">
        <v>374</v>
      </c>
      <c r="B367" s="7">
        <v>24476.67</v>
      </c>
      <c r="C367" s="8">
        <f t="shared" si="20"/>
        <v>3.2306125334813363E-3</v>
      </c>
      <c r="D367" s="8">
        <f t="shared" si="21"/>
        <v>7.8170033102737291E-2</v>
      </c>
      <c r="E367" s="7">
        <v>1293.95</v>
      </c>
      <c r="F367" s="8">
        <f t="shared" si="22"/>
        <v>1.1373483535528361E-3</v>
      </c>
      <c r="G367" s="8">
        <f t="shared" si="23"/>
        <v>0.29395000000000016</v>
      </c>
      <c r="H367" s="9">
        <f>Summary!$E$12*(1+G367)</f>
        <v>6210960.0000000009</v>
      </c>
      <c r="I367" s="9">
        <f>Summary!$E$12*(1+D367)</f>
        <v>5175216.1588931391</v>
      </c>
    </row>
    <row r="368" spans="1:9" ht="15" customHeight="1" x14ac:dyDescent="0.25">
      <c r="A368" s="2" t="s">
        <v>375</v>
      </c>
      <c r="B368" s="3">
        <v>24623.59</v>
      </c>
      <c r="C368" s="4">
        <f t="shared" si="20"/>
        <v>6.0024504967384207E-3</v>
      </c>
      <c r="D368" s="4">
        <f t="shared" si="21"/>
        <v>8.464169535350341E-2</v>
      </c>
      <c r="E368" s="3">
        <v>1295.57</v>
      </c>
      <c r="F368" s="4">
        <f t="shared" si="22"/>
        <v>1.251980370184258E-3</v>
      </c>
      <c r="G368" s="4">
        <f t="shared" si="23"/>
        <v>0.29556999999999989</v>
      </c>
      <c r="H368" s="5">
        <f>Summary!$E$12*(1+G368)</f>
        <v>6218735.9999999991</v>
      </c>
      <c r="I368" s="5">
        <f>Summary!$E$12*(1+D368)</f>
        <v>5206280.1376968166</v>
      </c>
    </row>
    <row r="369" spans="1:9" ht="15" customHeight="1" x14ac:dyDescent="0.25">
      <c r="A369" s="6" t="s">
        <v>376</v>
      </c>
      <c r="B369" s="7">
        <v>24511.53</v>
      </c>
      <c r="C369" s="8">
        <f t="shared" si="20"/>
        <v>-4.5509204791015501E-3</v>
      </c>
      <c r="D369" s="8">
        <f t="shared" si="21"/>
        <v>7.9705577249631565E-2</v>
      </c>
      <c r="E369" s="7">
        <v>1295.31</v>
      </c>
      <c r="F369" s="8">
        <f t="shared" si="22"/>
        <v>-2.0068386887628353E-4</v>
      </c>
      <c r="G369" s="8">
        <f t="shared" si="23"/>
        <v>0.29530999999999996</v>
      </c>
      <c r="H369" s="9">
        <f>Summary!$E$12*(1+G369)</f>
        <v>6217488</v>
      </c>
      <c r="I369" s="9">
        <f>Summary!$E$12*(1+D369)</f>
        <v>5182586.7707982315</v>
      </c>
    </row>
    <row r="370" spans="1:9" ht="15" customHeight="1" x14ac:dyDescent="0.25">
      <c r="A370" s="2" t="s">
        <v>377</v>
      </c>
      <c r="B370" s="3">
        <v>24656.16</v>
      </c>
      <c r="C370" s="4">
        <f t="shared" si="20"/>
        <v>5.9004884640003752E-3</v>
      </c>
      <c r="D370" s="4">
        <f t="shared" si="21"/>
        <v>8.6076367552710087E-2</v>
      </c>
      <c r="E370" s="3">
        <v>1296.51</v>
      </c>
      <c r="F370" s="4">
        <f t="shared" si="22"/>
        <v>9.2641915834823507E-4</v>
      </c>
      <c r="G370" s="4">
        <f t="shared" si="23"/>
        <v>0.29651000000000005</v>
      </c>
      <c r="H370" s="5">
        <f>Summary!$E$12*(1+G370)</f>
        <v>6223248</v>
      </c>
      <c r="I370" s="5">
        <f>Summary!$E$12*(1+D370)</f>
        <v>5213166.564253008</v>
      </c>
    </row>
    <row r="371" spans="1:9" ht="15" customHeight="1" x14ac:dyDescent="0.25">
      <c r="A371" s="6" t="s">
        <v>378</v>
      </c>
      <c r="B371" s="7">
        <v>24612</v>
      </c>
      <c r="C371" s="8">
        <f t="shared" si="20"/>
        <v>-1.7910331535810897E-3</v>
      </c>
      <c r="D371" s="8">
        <f t="shared" si="21"/>
        <v>8.4131168771102161E-2</v>
      </c>
      <c r="E371" s="7">
        <v>1298.03</v>
      </c>
      <c r="F371" s="8">
        <f t="shared" si="22"/>
        <v>1.1723781536585598E-3</v>
      </c>
      <c r="G371" s="8">
        <f t="shared" si="23"/>
        <v>0.29803000000000002</v>
      </c>
      <c r="H371" s="9">
        <f>Summary!$E$12*(1+G371)</f>
        <v>6230544</v>
      </c>
      <c r="I371" s="9">
        <f>Summary!$E$12*(1+D371)</f>
        <v>5203829.61010129</v>
      </c>
    </row>
    <row r="372" spans="1:9" ht="15" customHeight="1" x14ac:dyDescent="0.25">
      <c r="A372" s="2" t="s">
        <v>379</v>
      </c>
      <c r="B372" s="3">
        <v>24751.8</v>
      </c>
      <c r="C372" s="4">
        <f t="shared" si="20"/>
        <v>5.6801560214529978E-3</v>
      </c>
      <c r="D372" s="4">
        <f t="shared" si="21"/>
        <v>9.0289202957442249E-2</v>
      </c>
      <c r="E372" s="3">
        <v>1300.57</v>
      </c>
      <c r="F372" s="4">
        <f t="shared" si="22"/>
        <v>1.9568114758519162E-3</v>
      </c>
      <c r="G372" s="4">
        <f t="shared" si="23"/>
        <v>0.30057</v>
      </c>
      <c r="H372" s="5">
        <f>Summary!$E$12*(1+G372)</f>
        <v>6242736</v>
      </c>
      <c r="I372" s="5">
        <f>Summary!$E$12*(1+D372)</f>
        <v>5233388.1741957227</v>
      </c>
    </row>
    <row r="373" spans="1:9" ht="15" customHeight="1" x14ac:dyDescent="0.25">
      <c r="A373" s="6" t="s">
        <v>380</v>
      </c>
      <c r="B373" s="7">
        <v>24830.05</v>
      </c>
      <c r="C373" s="8">
        <f t="shared" si="20"/>
        <v>3.1613862426167483E-3</v>
      </c>
      <c r="D373" s="8">
        <f t="shared" si="21"/>
        <v>9.3736028244145286E-2</v>
      </c>
      <c r="E373" s="7">
        <v>1304.1300000000001</v>
      </c>
      <c r="F373" s="8">
        <f t="shared" si="22"/>
        <v>2.7372613546370328E-3</v>
      </c>
      <c r="G373" s="8">
        <f t="shared" si="23"/>
        <v>0.30413000000000001</v>
      </c>
      <c r="H373" s="9">
        <f>Summary!$E$12*(1+G373)</f>
        <v>6259824</v>
      </c>
      <c r="I373" s="9">
        <f>Summary!$E$12*(1+D373)</f>
        <v>5249932.9355718978</v>
      </c>
    </row>
    <row r="374" spans="1:9" ht="15" customHeight="1" x14ac:dyDescent="0.25">
      <c r="A374" s="2" t="s">
        <v>381</v>
      </c>
      <c r="B374" s="3">
        <v>24778.84</v>
      </c>
      <c r="C374" s="4">
        <f t="shared" si="20"/>
        <v>-2.0624203334266289E-3</v>
      </c>
      <c r="D374" s="4">
        <f t="shared" si="21"/>
        <v>9.1480284820093294E-2</v>
      </c>
      <c r="E374" s="3">
        <v>1305</v>
      </c>
      <c r="F374" s="4">
        <f t="shared" si="22"/>
        <v>6.6711140760489229E-4</v>
      </c>
      <c r="G374" s="4">
        <f t="shared" si="23"/>
        <v>0.30499999999999994</v>
      </c>
      <c r="H374" s="5">
        <f>Summary!$E$12*(1+G374)</f>
        <v>6264000</v>
      </c>
      <c r="I374" s="5">
        <f>Summary!$E$12*(1+D374)</f>
        <v>5239105.3671364477</v>
      </c>
    </row>
    <row r="375" spans="1:9" ht="15" customHeight="1" x14ac:dyDescent="0.25">
      <c r="A375" s="6" t="s">
        <v>382</v>
      </c>
      <c r="B375" s="7">
        <v>25124.86</v>
      </c>
      <c r="C375" s="8">
        <f t="shared" si="20"/>
        <v>1.3964334085049934E-2</v>
      </c>
      <c r="D375" s="8">
        <f t="shared" si="21"/>
        <v>0.10672208016456675</v>
      </c>
      <c r="E375" s="7">
        <v>1311.83</v>
      </c>
      <c r="F375" s="8">
        <f t="shared" si="22"/>
        <v>5.2337164750957399E-3</v>
      </c>
      <c r="G375" s="8">
        <f t="shared" si="23"/>
        <v>0.31182999999999983</v>
      </c>
      <c r="H375" s="9">
        <f>Summary!$E$12*(1+G375)</f>
        <v>6296783.9999999991</v>
      </c>
      <c r="I375" s="9">
        <f>Summary!$E$12*(1+D375)</f>
        <v>5312265.98478992</v>
      </c>
    </row>
    <row r="376" spans="1:9" ht="15" customHeight="1" x14ac:dyDescent="0.25">
      <c r="A376" s="2" t="s">
        <v>383</v>
      </c>
      <c r="B376" s="3">
        <v>25107.25</v>
      </c>
      <c r="C376" s="4">
        <f t="shared" si="20"/>
        <v>-7.0089942789730575E-4</v>
      </c>
      <c r="D376" s="4">
        <f t="shared" si="21"/>
        <v>0.10594637929173811</v>
      </c>
      <c r="E376" s="3">
        <v>1311.44</v>
      </c>
      <c r="F376" s="4">
        <f t="shared" si="22"/>
        <v>-2.9729461896732534E-4</v>
      </c>
      <c r="G376" s="4">
        <f t="shared" si="23"/>
        <v>0.31144000000000016</v>
      </c>
      <c r="H376" s="5">
        <f>Summary!$E$12*(1+G376)</f>
        <v>6294912.0000000009</v>
      </c>
      <c r="I376" s="5">
        <f>Summary!$E$12*(1+D376)</f>
        <v>5308542.6206003428</v>
      </c>
    </row>
    <row r="377" spans="1:9" ht="15" customHeight="1" x14ac:dyDescent="0.25">
      <c r="A377" s="6" t="s">
        <v>384</v>
      </c>
      <c r="B377" s="7">
        <v>24735.64</v>
      </c>
      <c r="C377" s="8">
        <f t="shared" si="20"/>
        <v>-1.4800904121319514E-2</v>
      </c>
      <c r="D377" s="8">
        <f t="shared" si="21"/>
        <v>8.957737296852053E-2</v>
      </c>
      <c r="E377" s="7">
        <v>1309.6199999999999</v>
      </c>
      <c r="F377" s="8">
        <f t="shared" si="22"/>
        <v>-1.3877874702618032E-3</v>
      </c>
      <c r="G377" s="8">
        <f t="shared" si="23"/>
        <v>0.30961999999999978</v>
      </c>
      <c r="H377" s="9">
        <f>Summary!$E$12*(1+G377)</f>
        <v>6286175.9999999991</v>
      </c>
      <c r="I377" s="9">
        <f>Summary!$E$12*(1+D377)</f>
        <v>5229971.3902488984</v>
      </c>
    </row>
    <row r="378" spans="1:9" ht="15" customHeight="1" x14ac:dyDescent="0.25">
      <c r="A378" s="2" t="s">
        <v>385</v>
      </c>
      <c r="B378" s="3">
        <v>24644.12</v>
      </c>
      <c r="C378" s="4">
        <f t="shared" si="20"/>
        <v>-3.6999244814365229E-3</v>
      </c>
      <c r="D378" s="4">
        <f t="shared" si="21"/>
        <v>8.5546018971854876E-2</v>
      </c>
      <c r="E378" s="3">
        <v>1309.58</v>
      </c>
      <c r="F378" s="4">
        <f t="shared" si="22"/>
        <v>-3.0543211007705295E-5</v>
      </c>
      <c r="G378" s="4">
        <f t="shared" si="23"/>
        <v>0.30957999999999997</v>
      </c>
      <c r="H378" s="5">
        <f>Summary!$E$12*(1+G378)</f>
        <v>6285984</v>
      </c>
      <c r="I378" s="5">
        <f>Summary!$E$12*(1+D378)</f>
        <v>5210620.8910649037</v>
      </c>
    </row>
    <row r="379" spans="1:9" ht="15" customHeight="1" x14ac:dyDescent="0.25">
      <c r="A379" s="6" t="s">
        <v>386</v>
      </c>
      <c r="B379" s="7">
        <v>24655.59</v>
      </c>
      <c r="C379" s="8">
        <f t="shared" si="20"/>
        <v>4.6542542399574671E-4</v>
      </c>
      <c r="D379" s="8">
        <f t="shared" si="21"/>
        <v>8.6051259688001869E-2</v>
      </c>
      <c r="E379" s="7">
        <v>1311.42</v>
      </c>
      <c r="F379" s="8">
        <f t="shared" si="22"/>
        <v>1.4050306205044549E-3</v>
      </c>
      <c r="G379" s="8">
        <f t="shared" si="23"/>
        <v>0.31142000000000003</v>
      </c>
      <c r="H379" s="9">
        <f>Summary!$E$12*(1+G379)</f>
        <v>6294816</v>
      </c>
      <c r="I379" s="9">
        <f>Summary!$E$12*(1+D379)</f>
        <v>5213046.0465024086</v>
      </c>
    </row>
    <row r="380" spans="1:9" ht="15" customHeight="1" x14ac:dyDescent="0.25">
      <c r="A380" s="2" t="s">
        <v>387</v>
      </c>
      <c r="B380" s="3">
        <v>24574.87</v>
      </c>
      <c r="C380" s="4">
        <f t="shared" si="20"/>
        <v>-3.2739025916638242E-3</v>
      </c>
      <c r="D380" s="4">
        <f t="shared" si="21"/>
        <v>8.2495633654229517E-2</v>
      </c>
      <c r="E380" s="3">
        <v>1313.42</v>
      </c>
      <c r="F380" s="4">
        <f t="shared" si="22"/>
        <v>1.5250644339723785E-3</v>
      </c>
      <c r="G380" s="4">
        <f t="shared" si="23"/>
        <v>0.31342000000000003</v>
      </c>
      <c r="H380" s="5">
        <f>Summary!$E$12*(1+G380)</f>
        <v>6304416</v>
      </c>
      <c r="I380" s="5">
        <f>Summary!$E$12*(1+D380)</f>
        <v>5195979.0415403014</v>
      </c>
    </row>
    <row r="381" spans="1:9" ht="15" customHeight="1" x14ac:dyDescent="0.25">
      <c r="A381" s="6" t="s">
        <v>388</v>
      </c>
      <c r="B381" s="7">
        <v>24920.65</v>
      </c>
      <c r="C381" s="8">
        <f t="shared" si="20"/>
        <v>1.4070471176449884E-2</v>
      </c>
      <c r="D381" s="8">
        <f t="shared" si="21"/>
        <v>9.7726857266194012E-2</v>
      </c>
      <c r="E381" s="7">
        <v>1317.22</v>
      </c>
      <c r="F381" s="8">
        <f t="shared" si="22"/>
        <v>2.8932100927350213E-3</v>
      </c>
      <c r="G381" s="8">
        <f t="shared" si="23"/>
        <v>0.31722000000000006</v>
      </c>
      <c r="H381" s="9">
        <f>Summary!$E$12*(1+G381)</f>
        <v>6322656</v>
      </c>
      <c r="I381" s="9">
        <f>Summary!$E$12*(1+D381)</f>
        <v>5269088.9148777314</v>
      </c>
    </row>
    <row r="382" spans="1:9" ht="15" customHeight="1" x14ac:dyDescent="0.25">
      <c r="A382" s="2" t="s">
        <v>389</v>
      </c>
      <c r="B382" s="3">
        <v>24890.7</v>
      </c>
      <c r="C382" s="4">
        <f t="shared" si="20"/>
        <v>-1.2018145594115959E-3</v>
      </c>
      <c r="D382" s="4">
        <f t="shared" si="21"/>
        <v>9.6407593146874415E-2</v>
      </c>
      <c r="E382" s="3">
        <v>1316.78</v>
      </c>
      <c r="F382" s="4">
        <f t="shared" si="22"/>
        <v>-3.340368351528733E-4</v>
      </c>
      <c r="G382" s="4">
        <f t="shared" si="23"/>
        <v>0.31678000000000006</v>
      </c>
      <c r="H382" s="5">
        <f>Summary!$E$12*(1+G382)</f>
        <v>6320544</v>
      </c>
      <c r="I382" s="5">
        <f>Summary!$E$12*(1+D382)</f>
        <v>5262756.447104997</v>
      </c>
    </row>
    <row r="383" spans="1:9" ht="15" customHeight="1" x14ac:dyDescent="0.25">
      <c r="A383" s="6" t="s">
        <v>390</v>
      </c>
      <c r="B383" s="7">
        <v>24934.57</v>
      </c>
      <c r="C383" s="8">
        <f t="shared" si="20"/>
        <v>1.7625056748102885E-3</v>
      </c>
      <c r="D383" s="8">
        <f t="shared" si="21"/>
        <v>9.834001775170087E-2</v>
      </c>
      <c r="E383" s="7">
        <v>1317.52</v>
      </c>
      <c r="F383" s="8">
        <f t="shared" si="22"/>
        <v>5.6197694375681451E-4</v>
      </c>
      <c r="G383" s="8">
        <f t="shared" si="23"/>
        <v>0.31752000000000002</v>
      </c>
      <c r="H383" s="9">
        <f>Summary!$E$12*(1+G383)</f>
        <v>6324096</v>
      </c>
      <c r="I383" s="9">
        <f>Summary!$E$12*(1+D383)</f>
        <v>5272032.0852081645</v>
      </c>
    </row>
    <row r="384" spans="1:9" ht="15" customHeight="1" x14ac:dyDescent="0.25">
      <c r="A384" s="2" t="s">
        <v>391</v>
      </c>
      <c r="B384" s="3">
        <v>25060.76</v>
      </c>
      <c r="C384" s="4">
        <f t="shared" si="20"/>
        <v>5.0608452441729401E-3</v>
      </c>
      <c r="D384" s="4">
        <f t="shared" si="21"/>
        <v>0.10389854660702436</v>
      </c>
      <c r="E384" s="3">
        <v>1320.61</v>
      </c>
      <c r="F384" s="4">
        <f t="shared" si="22"/>
        <v>2.3453154411317012E-3</v>
      </c>
      <c r="G384" s="4">
        <f t="shared" si="23"/>
        <v>0.32060999999999984</v>
      </c>
      <c r="H384" s="5">
        <f>Summary!$E$12*(1+G384)</f>
        <v>6338927.9999999991</v>
      </c>
      <c r="I384" s="5">
        <f>Summary!$E$12*(1+D384)</f>
        <v>5298713.0237137172</v>
      </c>
    </row>
    <row r="385" spans="1:9" ht="15" customHeight="1" x14ac:dyDescent="0.25">
      <c r="A385" s="6" t="s">
        <v>392</v>
      </c>
      <c r="B385" s="7">
        <v>25279.11</v>
      </c>
      <c r="C385" s="8">
        <f t="shared" si="20"/>
        <v>8.712824351695625E-3</v>
      </c>
      <c r="D385" s="8">
        <f t="shared" si="21"/>
        <v>0.11351662074570368</v>
      </c>
      <c r="E385" s="7">
        <v>1322.12</v>
      </c>
      <c r="F385" s="8">
        <f t="shared" si="22"/>
        <v>1.1434109994623576E-3</v>
      </c>
      <c r="G385" s="8">
        <f t="shared" si="23"/>
        <v>0.32211999999999996</v>
      </c>
      <c r="H385" s="9">
        <f>Summary!$E$12*(1+G385)</f>
        <v>6346176</v>
      </c>
      <c r="I385" s="9">
        <f>Summary!$E$12*(1+D385)</f>
        <v>5344879.7795793777</v>
      </c>
    </row>
    <row r="386" spans="1:9" ht="15" customHeight="1" x14ac:dyDescent="0.25">
      <c r="A386" s="2" t="s">
        <v>393</v>
      </c>
      <c r="B386" s="3">
        <v>25176.48</v>
      </c>
      <c r="C386" s="4">
        <f t="shared" si="20"/>
        <v>-4.0598739433469477E-3</v>
      </c>
      <c r="D386" s="4">
        <f t="shared" si="21"/>
        <v>0.10899588363165447</v>
      </c>
      <c r="E386" s="3">
        <v>1322.62</v>
      </c>
      <c r="F386" s="4">
        <f t="shared" si="22"/>
        <v>3.7818049798810094E-4</v>
      </c>
      <c r="G386" s="4">
        <f t="shared" si="23"/>
        <v>0.32261999999999991</v>
      </c>
      <c r="H386" s="5">
        <f>Summary!$E$12*(1+G386)</f>
        <v>6348576</v>
      </c>
      <c r="I386" s="5">
        <f>Summary!$E$12*(1+D386)</f>
        <v>5323180.2414319413</v>
      </c>
    </row>
    <row r="387" spans="1:9" ht="15" customHeight="1" x14ac:dyDescent="0.25">
      <c r="A387" s="6" t="s">
        <v>394</v>
      </c>
      <c r="B387" s="7">
        <v>25012.41</v>
      </c>
      <c r="C387" s="8">
        <f t="shared" ref="C387:C450" si="24">B387/B386-1</f>
        <v>-6.5167966292348778E-3</v>
      </c>
      <c r="D387" s="8">
        <f t="shared" ref="D387:D450" si="25">B387/$B$2-1</f>
        <v>0.10176878299536818</v>
      </c>
      <c r="E387" s="7">
        <v>1320.82</v>
      </c>
      <c r="F387" s="8">
        <f t="shared" ref="F387:F450" si="26">E387/E386-1</f>
        <v>-1.3609351136379955E-3</v>
      </c>
      <c r="G387" s="8">
        <f t="shared" ref="G387:G450" si="27">E387/$E$2-1</f>
        <v>0.32081999999999988</v>
      </c>
      <c r="H387" s="9">
        <f>Summary!$E$12*(1+G387)</f>
        <v>6339935.9999999991</v>
      </c>
      <c r="I387" s="9">
        <f>Summary!$E$12*(1+D387)</f>
        <v>5288490.1583777675</v>
      </c>
    </row>
    <row r="388" spans="1:9" ht="15" customHeight="1" x14ac:dyDescent="0.25">
      <c r="A388" s="2" t="s">
        <v>395</v>
      </c>
      <c r="B388" s="3">
        <v>24976.400000000001</v>
      </c>
      <c r="C388" s="4">
        <f t="shared" si="24"/>
        <v>-1.4396853401971166E-3</v>
      </c>
      <c r="D388" s="4">
        <f t="shared" si="25"/>
        <v>0.10018258263020319</v>
      </c>
      <c r="E388" s="3">
        <v>1320.54</v>
      </c>
      <c r="F388" s="4">
        <f t="shared" si="26"/>
        <v>-2.1198952166079366E-4</v>
      </c>
      <c r="G388" s="4">
        <f t="shared" si="27"/>
        <v>0.32054000000000005</v>
      </c>
      <c r="H388" s="5">
        <f>Summary!$E$12*(1+G388)</f>
        <v>6338592</v>
      </c>
      <c r="I388" s="5">
        <f>Summary!$E$12*(1+D388)</f>
        <v>5280876.3966249749</v>
      </c>
    </row>
    <row r="389" spans="1:9" ht="15" customHeight="1" x14ac:dyDescent="0.25">
      <c r="A389" s="6" t="s">
        <v>396</v>
      </c>
      <c r="B389" s="7">
        <v>25179.14</v>
      </c>
      <c r="C389" s="8">
        <f t="shared" si="24"/>
        <v>8.1172626959848948E-3</v>
      </c>
      <c r="D389" s="8">
        <f t="shared" si="25"/>
        <v>0.10911305366695956</v>
      </c>
      <c r="E389" s="7">
        <v>1323.7</v>
      </c>
      <c r="F389" s="8">
        <f t="shared" si="26"/>
        <v>2.3929604555712469E-3</v>
      </c>
      <c r="G389" s="8">
        <f t="shared" si="27"/>
        <v>0.3237000000000001</v>
      </c>
      <c r="H389" s="9">
        <f>Summary!$E$12*(1+G389)</f>
        <v>6353760.0000000009</v>
      </c>
      <c r="I389" s="9">
        <f>Summary!$E$12*(1+D389)</f>
        <v>5323742.6576014059</v>
      </c>
    </row>
    <row r="390" spans="1:9" ht="15" customHeight="1" x14ac:dyDescent="0.25">
      <c r="A390" s="2" t="s">
        <v>397</v>
      </c>
      <c r="B390" s="3">
        <v>25249.56</v>
      </c>
      <c r="C390" s="4">
        <f t="shared" si="24"/>
        <v>2.7967595398414868E-3</v>
      </c>
      <c r="D390" s="4">
        <f t="shared" si="25"/>
        <v>0.11221497618056531</v>
      </c>
      <c r="E390" s="3">
        <v>1326.36</v>
      </c>
      <c r="F390" s="4">
        <f t="shared" si="26"/>
        <v>2.00951877313571E-3</v>
      </c>
      <c r="G390" s="4">
        <f t="shared" si="27"/>
        <v>0.32635999999999998</v>
      </c>
      <c r="H390" s="5">
        <f>Summary!$E$12*(1+G390)</f>
        <v>6366528</v>
      </c>
      <c r="I390" s="5">
        <f>Summary!$E$12*(1+D390)</f>
        <v>5338631.8856667131</v>
      </c>
    </row>
    <row r="391" spans="1:9" ht="15" customHeight="1" x14ac:dyDescent="0.25">
      <c r="A391" s="6" t="s">
        <v>398</v>
      </c>
      <c r="B391" s="7">
        <v>25461.86</v>
      </c>
      <c r="C391" s="8">
        <f t="shared" si="24"/>
        <v>8.4080673088957614E-3</v>
      </c>
      <c r="D391" s="8">
        <f t="shared" si="25"/>
        <v>0.12156655456225329</v>
      </c>
      <c r="E391" s="7">
        <v>1329.3</v>
      </c>
      <c r="F391" s="8">
        <f t="shared" si="26"/>
        <v>2.2165927802406671E-3</v>
      </c>
      <c r="G391" s="8">
        <f t="shared" si="27"/>
        <v>0.32929999999999993</v>
      </c>
      <c r="H391" s="9">
        <f>Summary!$E$12*(1+G391)</f>
        <v>6380640</v>
      </c>
      <c r="I391" s="9">
        <f>Summary!$E$12*(1+D391)</f>
        <v>5383519.4618988158</v>
      </c>
    </row>
    <row r="392" spans="1:9" ht="15" customHeight="1" x14ac:dyDescent="0.25">
      <c r="A392" s="2" t="s">
        <v>399</v>
      </c>
      <c r="B392" s="3">
        <v>25459.57</v>
      </c>
      <c r="C392" s="4">
        <f t="shared" si="24"/>
        <v>-8.9938441260817292E-5</v>
      </c>
      <c r="D392" s="4">
        <f t="shared" si="25"/>
        <v>0.1214656826145657</v>
      </c>
      <c r="E392" s="3">
        <v>1330.16</v>
      </c>
      <c r="F392" s="4">
        <f t="shared" si="26"/>
        <v>6.469570450613471E-4</v>
      </c>
      <c r="G392" s="4">
        <f t="shared" si="27"/>
        <v>0.33016000000000001</v>
      </c>
      <c r="H392" s="5">
        <f>Summary!$E$12*(1+G392)</f>
        <v>6384768</v>
      </c>
      <c r="I392" s="5">
        <f>Summary!$E$12*(1+D392)</f>
        <v>5383035.2765499158</v>
      </c>
    </row>
    <row r="393" spans="1:9" ht="15" customHeight="1" x14ac:dyDescent="0.25">
      <c r="A393" s="6" t="s">
        <v>400</v>
      </c>
      <c r="B393" s="7">
        <v>25736.1</v>
      </c>
      <c r="C393" s="8">
        <f t="shared" si="24"/>
        <v>1.0861534582084387E-2</v>
      </c>
      <c r="D393" s="8">
        <f t="shared" si="25"/>
        <v>0.13364652090890461</v>
      </c>
      <c r="E393" s="7">
        <v>1334.46</v>
      </c>
      <c r="F393" s="8">
        <f t="shared" si="26"/>
        <v>3.2326938112707815E-3</v>
      </c>
      <c r="G393" s="8">
        <f t="shared" si="27"/>
        <v>0.33445999999999998</v>
      </c>
      <c r="H393" s="9">
        <f>Summary!$E$12*(1+G393)</f>
        <v>6405408</v>
      </c>
      <c r="I393" s="9">
        <f>Summary!$E$12*(1+D393)</f>
        <v>5441503.3003627425</v>
      </c>
    </row>
    <row r="394" spans="1:9" ht="15" customHeight="1" x14ac:dyDescent="0.25">
      <c r="A394" s="2" t="s">
        <v>401</v>
      </c>
      <c r="B394" s="3">
        <v>25905.5</v>
      </c>
      <c r="C394" s="4">
        <f t="shared" si="24"/>
        <v>6.5821938833001692E-3</v>
      </c>
      <c r="D394" s="4">
        <f t="shared" si="25"/>
        <v>0.14110840210465581</v>
      </c>
      <c r="E394" s="3">
        <v>1337.36</v>
      </c>
      <c r="F394" s="4">
        <f t="shared" si="26"/>
        <v>2.1731636766930684E-3</v>
      </c>
      <c r="G394" s="4">
        <f t="shared" si="27"/>
        <v>0.33735999999999988</v>
      </c>
      <c r="H394" s="5">
        <f>Summary!$E$12*(1+G394)</f>
        <v>6419327.9999999991</v>
      </c>
      <c r="I394" s="5">
        <f>Summary!$E$12*(1+D394)</f>
        <v>5477320.3301023478</v>
      </c>
    </row>
    <row r="395" spans="1:9" ht="15" customHeight="1" x14ac:dyDescent="0.25">
      <c r="A395" s="6" t="s">
        <v>402</v>
      </c>
      <c r="B395" s="7">
        <v>25890</v>
      </c>
      <c r="C395" s="8">
        <f t="shared" si="24"/>
        <v>-5.9832854027142002E-4</v>
      </c>
      <c r="D395" s="8">
        <f t="shared" si="25"/>
        <v>0.14042564438013305</v>
      </c>
      <c r="E395" s="7">
        <v>1335.46</v>
      </c>
      <c r="F395" s="8">
        <f t="shared" si="26"/>
        <v>-1.4207094574384405E-3</v>
      </c>
      <c r="G395" s="8">
        <f t="shared" si="27"/>
        <v>0.33546000000000009</v>
      </c>
      <c r="H395" s="9">
        <f>Summary!$E$12*(1+G395)</f>
        <v>6410208</v>
      </c>
      <c r="I395" s="9">
        <f>Summary!$E$12*(1+D395)</f>
        <v>5474043.0930246385</v>
      </c>
    </row>
    <row r="396" spans="1:9" ht="15" customHeight="1" x14ac:dyDescent="0.25">
      <c r="A396" s="2" t="s">
        <v>403</v>
      </c>
      <c r="B396" s="3">
        <v>25888.98</v>
      </c>
      <c r="C396" s="4">
        <f t="shared" si="24"/>
        <v>-3.9397450753209107E-5</v>
      </c>
      <c r="D396" s="4">
        <f t="shared" si="25"/>
        <v>0.14038071451697087</v>
      </c>
      <c r="E396" s="3">
        <v>1336.4</v>
      </c>
      <c r="F396" s="4">
        <f t="shared" si="26"/>
        <v>7.0387731568155587E-4</v>
      </c>
      <c r="G396" s="4">
        <f t="shared" si="27"/>
        <v>0.33640000000000003</v>
      </c>
      <c r="H396" s="5">
        <f>Summary!$E$12*(1+G396)</f>
        <v>6414720</v>
      </c>
      <c r="I396" s="5">
        <f>Summary!$E$12*(1+D396)</f>
        <v>5473827.4296814604</v>
      </c>
    </row>
    <row r="397" spans="1:9" ht="15" customHeight="1" x14ac:dyDescent="0.25">
      <c r="A397" s="6" t="s">
        <v>404</v>
      </c>
      <c r="B397" s="7">
        <v>25963.68</v>
      </c>
      <c r="C397" s="8">
        <f t="shared" si="24"/>
        <v>2.8853975707039403E-3</v>
      </c>
      <c r="D397" s="8">
        <f t="shared" si="25"/>
        <v>0.14367116626031584</v>
      </c>
      <c r="E397" s="7">
        <v>1338.75</v>
      </c>
      <c r="F397" s="8">
        <f t="shared" si="26"/>
        <v>1.758455552229865E-3</v>
      </c>
      <c r="G397" s="8">
        <f t="shared" si="27"/>
        <v>0.33875000000000011</v>
      </c>
      <c r="H397" s="9">
        <f>Summary!$E$12*(1+G397)</f>
        <v>6426000.0000000009</v>
      </c>
      <c r="I397" s="9">
        <f>Summary!$E$12*(1+D397)</f>
        <v>5489621.5980495159</v>
      </c>
    </row>
    <row r="398" spans="1:9" ht="15" customHeight="1" x14ac:dyDescent="0.25">
      <c r="A398" s="2" t="s">
        <v>405</v>
      </c>
      <c r="B398" s="3">
        <v>26010.799999999999</v>
      </c>
      <c r="C398" s="4">
        <f t="shared" si="24"/>
        <v>1.8148428882192036E-3</v>
      </c>
      <c r="D398" s="4">
        <f t="shared" si="25"/>
        <v>0.14574674974286461</v>
      </c>
      <c r="E398" s="3">
        <v>1342.03</v>
      </c>
      <c r="F398" s="4">
        <f t="shared" si="26"/>
        <v>2.4500466853407676E-3</v>
      </c>
      <c r="G398" s="4">
        <f t="shared" si="27"/>
        <v>0.34203000000000006</v>
      </c>
      <c r="H398" s="5">
        <f>Summary!$E$12*(1+G398)</f>
        <v>6441744</v>
      </c>
      <c r="I398" s="5">
        <f>Summary!$E$12*(1+D398)</f>
        <v>5499584.3987657502</v>
      </c>
    </row>
    <row r="399" spans="1:9" ht="15" customHeight="1" x14ac:dyDescent="0.25">
      <c r="A399" s="6" t="s">
        <v>406</v>
      </c>
      <c r="B399" s="7">
        <v>26043.99</v>
      </c>
      <c r="C399" s="8">
        <f t="shared" si="24"/>
        <v>1.2760084272687156E-3</v>
      </c>
      <c r="D399" s="8">
        <f t="shared" si="25"/>
        <v>0.14720873225105224</v>
      </c>
      <c r="E399" s="7">
        <v>1346.33</v>
      </c>
      <c r="F399" s="8">
        <f t="shared" si="26"/>
        <v>3.2041012495993559E-3</v>
      </c>
      <c r="G399" s="8">
        <f t="shared" si="27"/>
        <v>0.34633000000000003</v>
      </c>
      <c r="H399" s="9">
        <f>Summary!$E$12*(1+G399)</f>
        <v>6462384</v>
      </c>
      <c r="I399" s="9">
        <f>Summary!$E$12*(1+D399)</f>
        <v>5506601.9148050509</v>
      </c>
    </row>
    <row r="400" spans="1:9" ht="15" customHeight="1" x14ac:dyDescent="0.25">
      <c r="A400" s="2" t="s">
        <v>407</v>
      </c>
      <c r="B400" s="3">
        <v>25798.52</v>
      </c>
      <c r="C400" s="4">
        <f t="shared" si="24"/>
        <v>-9.4252071207215904E-3</v>
      </c>
      <c r="D400" s="4">
        <f t="shared" si="25"/>
        <v>0.13639605233888585</v>
      </c>
      <c r="E400" s="3">
        <v>1346.08</v>
      </c>
      <c r="F400" s="4">
        <f t="shared" si="26"/>
        <v>-1.8568998685319915E-4</v>
      </c>
      <c r="G400" s="4">
        <f t="shared" si="27"/>
        <v>0.34607999999999994</v>
      </c>
      <c r="H400" s="5">
        <f>Summary!$E$12*(1+G400)</f>
        <v>6461184</v>
      </c>
      <c r="I400" s="5">
        <f>Summary!$E$12*(1+D400)</f>
        <v>5454701.0512266522</v>
      </c>
    </row>
    <row r="401" spans="1:9" ht="15" customHeight="1" x14ac:dyDescent="0.25">
      <c r="A401" s="6" t="s">
        <v>408</v>
      </c>
      <c r="B401" s="7">
        <v>25843.77</v>
      </c>
      <c r="C401" s="8">
        <f t="shared" si="24"/>
        <v>1.7539765847032207E-3</v>
      </c>
      <c r="D401" s="8">
        <f t="shared" si="25"/>
        <v>0.13838926440563748</v>
      </c>
      <c r="E401" s="7">
        <v>1348.14</v>
      </c>
      <c r="F401" s="8">
        <f t="shared" si="26"/>
        <v>1.5303696659931809E-3</v>
      </c>
      <c r="G401" s="8">
        <f t="shared" si="27"/>
        <v>0.34814000000000012</v>
      </c>
      <c r="H401" s="9">
        <f>Summary!$E$12*(1+G401)</f>
        <v>6471072.0000000009</v>
      </c>
      <c r="I401" s="9">
        <f>Summary!$E$12*(1+D401)</f>
        <v>5464268.4691470601</v>
      </c>
    </row>
    <row r="402" spans="1:9" ht="15" customHeight="1" x14ac:dyDescent="0.25">
      <c r="A402" s="2" t="s">
        <v>409</v>
      </c>
      <c r="B402" s="3">
        <v>25820.28</v>
      </c>
      <c r="C402" s="4">
        <f t="shared" si="24"/>
        <v>-9.0892311764112499E-4</v>
      </c>
      <c r="D402" s="4">
        <f t="shared" si="25"/>
        <v>0.1373545560863445</v>
      </c>
      <c r="E402" s="3">
        <v>1348.21</v>
      </c>
      <c r="F402" s="4">
        <f t="shared" si="26"/>
        <v>5.1923390745667319E-5</v>
      </c>
      <c r="G402" s="4">
        <f t="shared" si="27"/>
        <v>0.34821000000000013</v>
      </c>
      <c r="H402" s="5">
        <f>Summary!$E$12*(1+G402)</f>
        <v>6471408.0000000009</v>
      </c>
      <c r="I402" s="5">
        <f>Summary!$E$12*(1+D402)</f>
        <v>5459301.8692144537</v>
      </c>
    </row>
    <row r="403" spans="1:9" ht="15" customHeight="1" x14ac:dyDescent="0.25">
      <c r="A403" s="6" t="s">
        <v>410</v>
      </c>
      <c r="B403" s="7">
        <v>25892.2</v>
      </c>
      <c r="C403" s="8">
        <f t="shared" si="24"/>
        <v>2.7854074394235706E-3</v>
      </c>
      <c r="D403" s="8">
        <f t="shared" si="25"/>
        <v>0.1405225519281299</v>
      </c>
      <c r="E403" s="7">
        <v>1350.55</v>
      </c>
      <c r="F403" s="8">
        <f t="shared" si="26"/>
        <v>1.7356346563219827E-3</v>
      </c>
      <c r="G403" s="8">
        <f t="shared" si="27"/>
        <v>0.35054999999999992</v>
      </c>
      <c r="H403" s="9">
        <f>Summary!$E$12*(1+G403)</f>
        <v>6482640</v>
      </c>
      <c r="I403" s="9">
        <f>Summary!$E$12*(1+D403)</f>
        <v>5474508.2492550239</v>
      </c>
    </row>
    <row r="404" spans="1:9" ht="15" customHeight="1" x14ac:dyDescent="0.25">
      <c r="A404" s="2" t="s">
        <v>411</v>
      </c>
      <c r="B404" s="3">
        <v>25932.93</v>
      </c>
      <c r="C404" s="4">
        <f t="shared" si="24"/>
        <v>1.5730606128485647E-3</v>
      </c>
      <c r="D404" s="4">
        <f t="shared" si="25"/>
        <v>0.14231666303263357</v>
      </c>
      <c r="E404" s="3">
        <v>1353.42</v>
      </c>
      <c r="F404" s="4">
        <f t="shared" si="26"/>
        <v>2.1250601606752628E-3</v>
      </c>
      <c r="G404" s="4">
        <f t="shared" si="27"/>
        <v>0.35342000000000007</v>
      </c>
      <c r="H404" s="5">
        <f>Summary!$E$12*(1+G404)</f>
        <v>6496416</v>
      </c>
      <c r="I404" s="5">
        <f>Summary!$E$12*(1+D404)</f>
        <v>5483119.9825566411</v>
      </c>
    </row>
    <row r="405" spans="1:9" ht="15" customHeight="1" x14ac:dyDescent="0.25">
      <c r="A405" s="6" t="s">
        <v>412</v>
      </c>
      <c r="B405" s="7">
        <v>25869.93</v>
      </c>
      <c r="C405" s="8">
        <f t="shared" si="24"/>
        <v>-2.4293436954482273E-3</v>
      </c>
      <c r="D405" s="8">
        <f t="shared" si="25"/>
        <v>0.13954158324908983</v>
      </c>
      <c r="E405" s="7">
        <v>1355.79</v>
      </c>
      <c r="F405" s="8">
        <f t="shared" si="26"/>
        <v>1.7511193864432339E-3</v>
      </c>
      <c r="G405" s="8">
        <f t="shared" si="27"/>
        <v>0.35579000000000005</v>
      </c>
      <c r="H405" s="9">
        <f>Summary!$E$12*(1+G405)</f>
        <v>6507792</v>
      </c>
      <c r="I405" s="9">
        <f>Summary!$E$12*(1+D405)</f>
        <v>5469799.5995956315</v>
      </c>
    </row>
    <row r="406" spans="1:9" ht="15" customHeight="1" x14ac:dyDescent="0.25">
      <c r="A406" s="2" t="s">
        <v>413</v>
      </c>
      <c r="B406" s="3">
        <v>25946.86</v>
      </c>
      <c r="C406" s="4">
        <f t="shared" si="24"/>
        <v>2.9737227738924066E-3</v>
      </c>
      <c r="D406" s="4">
        <f t="shared" si="25"/>
        <v>0.14293026400699493</v>
      </c>
      <c r="E406" s="3">
        <v>1357.02</v>
      </c>
      <c r="F406" s="4">
        <f t="shared" si="26"/>
        <v>9.0722014471267265E-4</v>
      </c>
      <c r="G406" s="4">
        <f t="shared" si="27"/>
        <v>0.35701999999999989</v>
      </c>
      <c r="H406" s="5">
        <f>Summary!$E$12*(1+G406)</f>
        <v>6513695.9999999991</v>
      </c>
      <c r="I406" s="5">
        <f>Summary!$E$12*(1+D406)</f>
        <v>5486065.2672335757</v>
      </c>
    </row>
    <row r="407" spans="1:9" ht="15" customHeight="1" x14ac:dyDescent="0.25">
      <c r="A407" s="6" t="s">
        <v>414</v>
      </c>
      <c r="B407" s="7">
        <v>26199.97</v>
      </c>
      <c r="C407" s="8">
        <f t="shared" si="24"/>
        <v>9.7549375916778924E-3</v>
      </c>
      <c r="D407" s="8">
        <f t="shared" si="25"/>
        <v>0.15407947740402306</v>
      </c>
      <c r="E407" s="7">
        <v>1361.45</v>
      </c>
      <c r="F407" s="8">
        <f t="shared" si="26"/>
        <v>3.2645060500213763E-3</v>
      </c>
      <c r="G407" s="8">
        <f t="shared" si="27"/>
        <v>0.36145000000000005</v>
      </c>
      <c r="H407" s="9">
        <f>Summary!$E$12*(1+G407)</f>
        <v>6534960</v>
      </c>
      <c r="I407" s="9">
        <f>Summary!$E$12*(1+D407)</f>
        <v>5539581.4915393107</v>
      </c>
    </row>
    <row r="408" spans="1:9" ht="15" customHeight="1" x14ac:dyDescent="0.25">
      <c r="A408" s="2" t="s">
        <v>415</v>
      </c>
      <c r="B408" s="3">
        <v>26295.81</v>
      </c>
      <c r="C408" s="4">
        <f t="shared" si="24"/>
        <v>3.6580194557473966E-3</v>
      </c>
      <c r="D408" s="4">
        <f t="shared" si="25"/>
        <v>0.15830112258584594</v>
      </c>
      <c r="E408" s="3">
        <v>1364.95</v>
      </c>
      <c r="F408" s="4">
        <f t="shared" si="26"/>
        <v>2.5707884975576523E-3</v>
      </c>
      <c r="G408" s="4">
        <f t="shared" si="27"/>
        <v>0.36495000000000011</v>
      </c>
      <c r="H408" s="5">
        <f>Summary!$E$12*(1+G408)</f>
        <v>6551760.0000000009</v>
      </c>
      <c r="I408" s="5">
        <f>Summary!$E$12*(1+D408)</f>
        <v>5559845.3884120602</v>
      </c>
    </row>
    <row r="409" spans="1:9" ht="15" customHeight="1" x14ac:dyDescent="0.25">
      <c r="A409" s="6" t="s">
        <v>416</v>
      </c>
      <c r="B409" s="7">
        <v>26310.720000000001</v>
      </c>
      <c r="C409" s="8">
        <f t="shared" si="24"/>
        <v>5.6701048570095836E-4</v>
      </c>
      <c r="D409" s="8">
        <f t="shared" si="25"/>
        <v>0.15895789146795125</v>
      </c>
      <c r="E409" s="7">
        <v>1368.89</v>
      </c>
      <c r="F409" s="8">
        <f t="shared" si="26"/>
        <v>2.8865526209751469E-3</v>
      </c>
      <c r="G409" s="8">
        <f t="shared" si="27"/>
        <v>0.36889000000000016</v>
      </c>
      <c r="H409" s="9">
        <f>Summary!$E$12*(1+G409)</f>
        <v>6570672.0000000009</v>
      </c>
      <c r="I409" s="9">
        <f>Summary!$E$12*(1+D409)</f>
        <v>5562997.8790461663</v>
      </c>
    </row>
    <row r="410" spans="1:9" ht="15" customHeight="1" x14ac:dyDescent="0.25">
      <c r="A410" s="2" t="s">
        <v>417</v>
      </c>
      <c r="B410" s="3">
        <v>26342.58</v>
      </c>
      <c r="C410" s="4">
        <f t="shared" si="24"/>
        <v>1.2109132703324033E-3</v>
      </c>
      <c r="D410" s="4">
        <f t="shared" si="25"/>
        <v>0.16036128895848623</v>
      </c>
      <c r="E410" s="3">
        <v>1371.05</v>
      </c>
      <c r="F410" s="4">
        <f t="shared" si="26"/>
        <v>1.5779207971420295E-3</v>
      </c>
      <c r="G410" s="4">
        <f t="shared" si="27"/>
        <v>0.37104999999999988</v>
      </c>
      <c r="H410" s="5">
        <f>Summary!$E$12*(1+G410)</f>
        <v>6581039.9999999991</v>
      </c>
      <c r="I410" s="5">
        <f>Summary!$E$12*(1+D410)</f>
        <v>5569734.1870007338</v>
      </c>
    </row>
    <row r="411" spans="1:9" ht="15" customHeight="1" x14ac:dyDescent="0.25">
      <c r="A411" s="6" t="s">
        <v>418</v>
      </c>
      <c r="B411" s="7">
        <v>26521.97</v>
      </c>
      <c r="C411" s="8">
        <f t="shared" si="24"/>
        <v>6.8098872623714168E-3</v>
      </c>
      <c r="D411" s="8">
        <f t="shared" si="25"/>
        <v>0.16826321851991355</v>
      </c>
      <c r="E411" s="7">
        <v>1373.76</v>
      </c>
      <c r="F411" s="8">
        <f t="shared" si="26"/>
        <v>1.9765872871158052E-3</v>
      </c>
      <c r="G411" s="8">
        <f t="shared" si="27"/>
        <v>0.37376000000000009</v>
      </c>
      <c r="H411" s="9">
        <f>Summary!$E$12*(1+G411)</f>
        <v>6594048</v>
      </c>
      <c r="I411" s="9">
        <f>Summary!$E$12*(1+D411)</f>
        <v>5607663.4488955848</v>
      </c>
    </row>
    <row r="412" spans="1:9" ht="15" customHeight="1" x14ac:dyDescent="0.25">
      <c r="A412" s="2" t="s">
        <v>419</v>
      </c>
      <c r="B412" s="3">
        <v>26422.74</v>
      </c>
      <c r="C412" s="4">
        <f t="shared" si="24"/>
        <v>-3.7414264475829073E-3</v>
      </c>
      <c r="D412" s="4">
        <f t="shared" si="25"/>
        <v>0.16389224761640486</v>
      </c>
      <c r="E412" s="3">
        <v>1373.4</v>
      </c>
      <c r="F412" s="4">
        <f t="shared" si="26"/>
        <v>-2.6205450733740587E-4</v>
      </c>
      <c r="G412" s="4">
        <f t="shared" si="27"/>
        <v>0.37340000000000018</v>
      </c>
      <c r="H412" s="5">
        <f>Summary!$E$12*(1+G412)</f>
        <v>6592320.0000000009</v>
      </c>
      <c r="I412" s="5">
        <f>Summary!$E$12*(1+D412)</f>
        <v>5586682.788558743</v>
      </c>
    </row>
    <row r="413" spans="1:9" ht="15" customHeight="1" x14ac:dyDescent="0.25">
      <c r="A413" s="6" t="s">
        <v>420</v>
      </c>
      <c r="B413" s="7">
        <v>26436.34</v>
      </c>
      <c r="C413" s="8">
        <f t="shared" si="24"/>
        <v>5.1470816425536192E-4</v>
      </c>
      <c r="D413" s="8">
        <f t="shared" si="25"/>
        <v>0.16449131245856652</v>
      </c>
      <c r="E413" s="7">
        <v>1374.61</v>
      </c>
      <c r="F413" s="8">
        <f t="shared" si="26"/>
        <v>8.8102519295163439E-4</v>
      </c>
      <c r="G413" s="8">
        <f t="shared" si="27"/>
        <v>0.37460999999999989</v>
      </c>
      <c r="H413" s="9">
        <f>Summary!$E$12*(1+G413)</f>
        <v>6598127.9999999991</v>
      </c>
      <c r="I413" s="9">
        <f>Summary!$E$12*(1+D413)</f>
        <v>5589558.2998011196</v>
      </c>
    </row>
    <row r="414" spans="1:9" ht="15" customHeight="1" x14ac:dyDescent="0.25">
      <c r="A414" s="2" t="s">
        <v>421</v>
      </c>
      <c r="B414" s="3">
        <v>26387.4</v>
      </c>
      <c r="C414" s="4">
        <f t="shared" si="24"/>
        <v>-1.8512396194025893E-3</v>
      </c>
      <c r="D414" s="4">
        <f t="shared" si="25"/>
        <v>0.16233556000449312</v>
      </c>
      <c r="E414" s="3">
        <v>1374.81</v>
      </c>
      <c r="F414" s="4">
        <f t="shared" si="26"/>
        <v>1.4549581335798756E-4</v>
      </c>
      <c r="G414" s="4">
        <f t="shared" si="27"/>
        <v>0.37480999999999987</v>
      </c>
      <c r="H414" s="5">
        <f>Summary!$E$12*(1+G414)</f>
        <v>6599087.9999999991</v>
      </c>
      <c r="I414" s="5">
        <f>Summary!$E$12*(1+D414)</f>
        <v>5579210.6880215667</v>
      </c>
    </row>
    <row r="415" spans="1:9" ht="15" customHeight="1" x14ac:dyDescent="0.25">
      <c r="A415" s="6" t="s">
        <v>422</v>
      </c>
      <c r="B415" s="7">
        <v>26455.1</v>
      </c>
      <c r="C415" s="8">
        <f t="shared" si="24"/>
        <v>2.565618439103412E-3</v>
      </c>
      <c r="D415" s="8">
        <f t="shared" si="25"/>
        <v>0.16531766954966609</v>
      </c>
      <c r="E415" s="7">
        <v>1376.9</v>
      </c>
      <c r="F415" s="8">
        <f t="shared" si="26"/>
        <v>1.5202100653910477E-3</v>
      </c>
      <c r="G415" s="8">
        <f t="shared" si="27"/>
        <v>0.37690000000000001</v>
      </c>
      <c r="H415" s="9">
        <f>Summary!$E$12*(1+G415)</f>
        <v>6609120</v>
      </c>
      <c r="I415" s="9">
        <f>Summary!$E$12*(1+D415)</f>
        <v>5593524.8138383972</v>
      </c>
    </row>
    <row r="416" spans="1:9" ht="15" customHeight="1" x14ac:dyDescent="0.25">
      <c r="A416" s="2" t="s">
        <v>423</v>
      </c>
      <c r="B416" s="3">
        <v>26178.59</v>
      </c>
      <c r="C416" s="4">
        <f t="shared" si="24"/>
        <v>-1.0452048943303871E-2</v>
      </c>
      <c r="D416" s="4">
        <f t="shared" si="25"/>
        <v>0.15313771223303618</v>
      </c>
      <c r="E416" s="3">
        <v>1375.7</v>
      </c>
      <c r="F416" s="4">
        <f t="shared" si="26"/>
        <v>-8.7152298641879344E-4</v>
      </c>
      <c r="G416" s="4">
        <f t="shared" si="27"/>
        <v>0.37570000000000014</v>
      </c>
      <c r="H416" s="5">
        <f>Summary!$E$12*(1+G416)</f>
        <v>6603360.0000000009</v>
      </c>
      <c r="I416" s="5">
        <f>Summary!$E$12*(1+D416)</f>
        <v>5535061.0187185733</v>
      </c>
    </row>
    <row r="417" spans="1:9" ht="15" customHeight="1" x14ac:dyDescent="0.25">
      <c r="A417" s="6" t="s">
        <v>424</v>
      </c>
      <c r="B417" s="7">
        <v>26263.95</v>
      </c>
      <c r="C417" s="8">
        <f t="shared" si="24"/>
        <v>3.2606798150702776E-3</v>
      </c>
      <c r="D417" s="8">
        <f t="shared" si="25"/>
        <v>0.15689772509531075</v>
      </c>
      <c r="E417" s="7">
        <v>1377.85</v>
      </c>
      <c r="F417" s="8">
        <f t="shared" si="26"/>
        <v>1.5628407356254037E-3</v>
      </c>
      <c r="G417" s="8">
        <f t="shared" si="27"/>
        <v>0.37785000000000002</v>
      </c>
      <c r="H417" s="9">
        <f>Summary!$E$12*(1+G417)</f>
        <v>6613680</v>
      </c>
      <c r="I417" s="9">
        <f>Summary!$E$12*(1+D417)</f>
        <v>5553109.0804574918</v>
      </c>
    </row>
    <row r="418" spans="1:9" ht="15" customHeight="1" x14ac:dyDescent="0.25">
      <c r="A418" s="2" t="s">
        <v>425</v>
      </c>
      <c r="B418" s="3">
        <v>26376.11</v>
      </c>
      <c r="C418" s="4">
        <f t="shared" si="24"/>
        <v>4.2704924430636559E-3</v>
      </c>
      <c r="D418" s="4">
        <f t="shared" si="25"/>
        <v>0.16183824808772784</v>
      </c>
      <c r="E418" s="3">
        <v>1380.86</v>
      </c>
      <c r="F418" s="4">
        <f t="shared" si="26"/>
        <v>2.1845629059766836E-3</v>
      </c>
      <c r="G418" s="4">
        <f t="shared" si="27"/>
        <v>0.38085999999999998</v>
      </c>
      <c r="H418" s="5">
        <f>Summary!$E$12*(1+G418)</f>
        <v>6628128</v>
      </c>
      <c r="I418" s="5">
        <f>Summary!$E$12*(1+D418)</f>
        <v>5576823.5908210939</v>
      </c>
    </row>
    <row r="419" spans="1:9" ht="15" customHeight="1" x14ac:dyDescent="0.25">
      <c r="A419" s="6" t="s">
        <v>426</v>
      </c>
      <c r="B419" s="7">
        <v>26289.16</v>
      </c>
      <c r="C419" s="8">
        <f t="shared" si="24"/>
        <v>-3.2965437283967169E-3</v>
      </c>
      <c r="D419" s="8">
        <f t="shared" si="25"/>
        <v>0.15800819749758288</v>
      </c>
      <c r="E419" s="7">
        <v>1379.75</v>
      </c>
      <c r="F419" s="8">
        <f t="shared" si="26"/>
        <v>-8.0384687803247701E-4</v>
      </c>
      <c r="G419" s="8">
        <f t="shared" si="27"/>
        <v>0.37975000000000003</v>
      </c>
      <c r="H419" s="9">
        <f>Summary!$E$12*(1+G419)</f>
        <v>6622800</v>
      </c>
      <c r="I419" s="9">
        <f>Summary!$E$12*(1+D419)</f>
        <v>5558439.3479883978</v>
      </c>
    </row>
    <row r="420" spans="1:9" ht="15" customHeight="1" x14ac:dyDescent="0.25">
      <c r="A420" s="2" t="s">
        <v>427</v>
      </c>
      <c r="B420" s="3">
        <v>26227.88</v>
      </c>
      <c r="C420" s="4">
        <f t="shared" si="24"/>
        <v>-2.3309987842897728E-3</v>
      </c>
      <c r="D420" s="4">
        <f t="shared" si="25"/>
        <v>0.15530888179701852</v>
      </c>
      <c r="E420" s="3">
        <v>1379.94</v>
      </c>
      <c r="F420" s="4">
        <f t="shared" si="26"/>
        <v>1.3770610617869217E-4</v>
      </c>
      <c r="G420" s="4">
        <f t="shared" si="27"/>
        <v>0.37993999999999994</v>
      </c>
      <c r="H420" s="5">
        <f>Summary!$E$12*(1+G420)</f>
        <v>6623712</v>
      </c>
      <c r="I420" s="5">
        <f>Summary!$E$12*(1+D420)</f>
        <v>5545482.6326256888</v>
      </c>
    </row>
    <row r="421" spans="1:9" ht="15" customHeight="1" x14ac:dyDescent="0.25">
      <c r="A421" s="6" t="s">
        <v>428</v>
      </c>
      <c r="B421" s="7">
        <v>26291.439999999999</v>
      </c>
      <c r="C421" s="8">
        <f t="shared" si="24"/>
        <v>2.4233754310298838E-3</v>
      </c>
      <c r="D421" s="8">
        <f t="shared" si="25"/>
        <v>0.15810862895641575</v>
      </c>
      <c r="E421" s="7">
        <v>1380.48</v>
      </c>
      <c r="F421" s="8">
        <f t="shared" si="26"/>
        <v>3.9132136179831356E-4</v>
      </c>
      <c r="G421" s="8">
        <f t="shared" si="27"/>
        <v>0.38047999999999993</v>
      </c>
      <c r="H421" s="9">
        <f>Summary!$E$12*(1+G421)</f>
        <v>6626304</v>
      </c>
      <c r="I421" s="9">
        <f>Summary!$E$12*(1+D421)</f>
        <v>5558921.4189907955</v>
      </c>
    </row>
    <row r="422" spans="1:9" ht="15" customHeight="1" x14ac:dyDescent="0.25">
      <c r="A422" s="2" t="s">
        <v>429</v>
      </c>
      <c r="B422" s="3">
        <v>26545.02</v>
      </c>
      <c r="C422" s="4">
        <f t="shared" si="24"/>
        <v>9.644964292560676E-3</v>
      </c>
      <c r="D422" s="4">
        <f t="shared" si="25"/>
        <v>0.16927854532960684</v>
      </c>
      <c r="E422" s="3">
        <v>1383.56</v>
      </c>
      <c r="F422" s="4">
        <f t="shared" si="26"/>
        <v>2.2311080203987199E-3</v>
      </c>
      <c r="G422" s="4">
        <f t="shared" si="27"/>
        <v>0.3835599999999999</v>
      </c>
      <c r="H422" s="5">
        <f>Summary!$E$12*(1+G422)</f>
        <v>6641087.9999999991</v>
      </c>
      <c r="I422" s="5">
        <f>Summary!$E$12*(1+D422)</f>
        <v>5612537.0175821129</v>
      </c>
    </row>
    <row r="423" spans="1:9" ht="15" customHeight="1" x14ac:dyDescent="0.25">
      <c r="A423" s="6" t="s">
        <v>430</v>
      </c>
      <c r="B423" s="7">
        <v>26497.51</v>
      </c>
      <c r="C423" s="8">
        <f t="shared" si="24"/>
        <v>-1.7897895725828006E-3</v>
      </c>
      <c r="D423" s="8">
        <f t="shared" si="25"/>
        <v>0.16718578278173113</v>
      </c>
      <c r="E423" s="7">
        <v>1384.95</v>
      </c>
      <c r="F423" s="8">
        <f t="shared" si="26"/>
        <v>1.0046546589956851E-3</v>
      </c>
      <c r="G423" s="8">
        <f t="shared" si="27"/>
        <v>0.38495000000000013</v>
      </c>
      <c r="H423" s="9">
        <f>Summary!$E$12*(1+G423)</f>
        <v>6647760.0000000009</v>
      </c>
      <c r="I423" s="9">
        <f>Summary!$E$12*(1+D423)</f>
        <v>5602491.7573523093</v>
      </c>
    </row>
    <row r="424" spans="1:9" ht="15" customHeight="1" x14ac:dyDescent="0.25">
      <c r="A424" s="2" t="s">
        <v>431</v>
      </c>
      <c r="B424" s="3">
        <v>26758.74</v>
      </c>
      <c r="C424" s="4">
        <f t="shared" si="24"/>
        <v>9.8586621912777339E-3</v>
      </c>
      <c r="D424" s="4">
        <f t="shared" si="25"/>
        <v>0.17869267312863824</v>
      </c>
      <c r="E424" s="3">
        <v>1388</v>
      </c>
      <c r="F424" s="4">
        <f t="shared" si="26"/>
        <v>2.2022455684320708E-3</v>
      </c>
      <c r="G424" s="4">
        <f t="shared" si="27"/>
        <v>0.3879999999999999</v>
      </c>
      <c r="H424" s="5">
        <f>Summary!$E$12*(1+G424)</f>
        <v>6662399.9999999991</v>
      </c>
      <c r="I424" s="5">
        <f>Summary!$E$12*(1+D424)</f>
        <v>5657724.8310174635</v>
      </c>
    </row>
    <row r="425" spans="1:9" ht="15" customHeight="1" x14ac:dyDescent="0.25">
      <c r="A425" s="6" t="s">
        <v>432</v>
      </c>
      <c r="B425" s="7">
        <v>26758.74</v>
      </c>
      <c r="C425" s="8">
        <f t="shared" si="24"/>
        <v>0</v>
      </c>
      <c r="D425" s="8">
        <f t="shared" si="25"/>
        <v>0.17869267312863824</v>
      </c>
      <c r="E425" s="7">
        <v>1386.03</v>
      </c>
      <c r="F425" s="8">
        <f t="shared" si="26"/>
        <v>-1.4193083573487142E-3</v>
      </c>
      <c r="G425" s="8">
        <f t="shared" si="27"/>
        <v>0.38602999999999987</v>
      </c>
      <c r="H425" s="9">
        <f>Summary!$E$12*(1+G425)</f>
        <v>6652943.9999999991</v>
      </c>
      <c r="I425" s="9">
        <f>Summary!$E$12*(1+D425)</f>
        <v>5657724.8310174635</v>
      </c>
    </row>
    <row r="426" spans="1:9" ht="15" customHeight="1" x14ac:dyDescent="0.25">
      <c r="A426" s="2" t="s">
        <v>433</v>
      </c>
      <c r="B426" s="3">
        <v>26637.32</v>
      </c>
      <c r="C426" s="4">
        <f t="shared" si="24"/>
        <v>-4.5375828607775448E-3</v>
      </c>
      <c r="D426" s="4">
        <f t="shared" si="25"/>
        <v>0.17334425745692572</v>
      </c>
      <c r="E426" s="3">
        <v>1384.82</v>
      </c>
      <c r="F426" s="4">
        <f t="shared" si="26"/>
        <v>-8.7299697697740264E-4</v>
      </c>
      <c r="G426" s="4">
        <f t="shared" si="27"/>
        <v>0.38481999999999994</v>
      </c>
      <c r="H426" s="5">
        <f>Summary!$E$12*(1+G426)</f>
        <v>6647136</v>
      </c>
      <c r="I426" s="5">
        <f>Summary!$E$12*(1+D426)</f>
        <v>5632052.4357932433</v>
      </c>
    </row>
    <row r="427" spans="1:9" ht="15" customHeight="1" x14ac:dyDescent="0.25">
      <c r="A427" s="6" t="s">
        <v>434</v>
      </c>
      <c r="B427" s="7">
        <v>26585.46</v>
      </c>
      <c r="C427" s="8">
        <f t="shared" si="24"/>
        <v>-1.9468925552570404E-3</v>
      </c>
      <c r="D427" s="8">
        <f t="shared" si="25"/>
        <v>0.17105988225732927</v>
      </c>
      <c r="E427" s="7">
        <v>1383.75</v>
      </c>
      <c r="F427" s="8">
        <f t="shared" si="26"/>
        <v>-7.7266359526861894E-4</v>
      </c>
      <c r="G427" s="8">
        <f t="shared" si="27"/>
        <v>0.38375000000000004</v>
      </c>
      <c r="H427" s="9">
        <f>Summary!$E$12*(1+G427)</f>
        <v>6642000</v>
      </c>
      <c r="I427" s="9">
        <f>Summary!$E$12*(1+D427)</f>
        <v>5621087.4348351806</v>
      </c>
    </row>
    <row r="428" spans="1:9" ht="15" customHeight="1" x14ac:dyDescent="0.25">
      <c r="A428" s="2" t="s">
        <v>435</v>
      </c>
      <c r="B428" s="3">
        <v>26634.42</v>
      </c>
      <c r="C428" s="4">
        <f t="shared" si="24"/>
        <v>1.8416081572407705E-3</v>
      </c>
      <c r="D428" s="4">
        <f t="shared" si="25"/>
        <v>0.17321651568911167</v>
      </c>
      <c r="E428" s="3">
        <v>1382.74</v>
      </c>
      <c r="F428" s="4">
        <f t="shared" si="26"/>
        <v>-7.2990063233968616E-4</v>
      </c>
      <c r="G428" s="4">
        <f t="shared" si="27"/>
        <v>0.38274000000000008</v>
      </c>
      <c r="H428" s="5">
        <f>Summary!$E$12*(1+G428)</f>
        <v>6637152</v>
      </c>
      <c r="I428" s="5">
        <f>Summary!$E$12*(1+D428)</f>
        <v>5631439.2753077364</v>
      </c>
    </row>
    <row r="429" spans="1:9" ht="15" customHeight="1" x14ac:dyDescent="0.25">
      <c r="A429" s="6" t="s">
        <v>436</v>
      </c>
      <c r="B429" s="7">
        <v>26559.81</v>
      </c>
      <c r="C429" s="8">
        <f t="shared" si="24"/>
        <v>-2.8012624265892905E-3</v>
      </c>
      <c r="D429" s="8">
        <f t="shared" si="25"/>
        <v>0.1699300283454579</v>
      </c>
      <c r="E429" s="7">
        <v>1381.34</v>
      </c>
      <c r="F429" s="8">
        <f t="shared" si="26"/>
        <v>-1.0124824623574114E-3</v>
      </c>
      <c r="G429" s="8">
        <f t="shared" si="27"/>
        <v>0.38134000000000001</v>
      </c>
      <c r="H429" s="9">
        <f>Summary!$E$12*(1+G429)</f>
        <v>6630432</v>
      </c>
      <c r="I429" s="9">
        <f>Summary!$E$12*(1+D429)</f>
        <v>5615664.1360581983</v>
      </c>
    </row>
    <row r="430" spans="1:9" ht="15" customHeight="1" x14ac:dyDescent="0.25">
      <c r="A430" s="2" t="s">
        <v>437</v>
      </c>
      <c r="B430" s="3">
        <v>26699.54</v>
      </c>
      <c r="C430" s="4">
        <f t="shared" si="24"/>
        <v>5.2609563095518119E-3</v>
      </c>
      <c r="D430" s="4">
        <f t="shared" si="25"/>
        <v>0.17608497910981624</v>
      </c>
      <c r="E430" s="3">
        <v>1384.35</v>
      </c>
      <c r="F430" s="4">
        <f t="shared" si="26"/>
        <v>2.1790435374346995E-3</v>
      </c>
      <c r="G430" s="4">
        <f t="shared" si="27"/>
        <v>0.38434999999999997</v>
      </c>
      <c r="H430" s="5">
        <f>Summary!$E$12*(1+G430)</f>
        <v>6644880</v>
      </c>
      <c r="I430" s="5">
        <f>Summary!$E$12*(1+D430)</f>
        <v>5645207.8997271182</v>
      </c>
    </row>
    <row r="431" spans="1:9" ht="15" customHeight="1" x14ac:dyDescent="0.25">
      <c r="A431" s="6" t="s">
        <v>438</v>
      </c>
      <c r="B431" s="7">
        <v>26725.55</v>
      </c>
      <c r="C431" s="8">
        <f t="shared" si="24"/>
        <v>9.7417408689426388E-4</v>
      </c>
      <c r="D431" s="8">
        <f t="shared" si="25"/>
        <v>0.1772306906204506</v>
      </c>
      <c r="E431" s="7">
        <v>1387.07</v>
      </c>
      <c r="F431" s="8">
        <f t="shared" si="26"/>
        <v>1.9648210351428386E-3</v>
      </c>
      <c r="G431" s="8">
        <f t="shared" si="27"/>
        <v>0.38707000000000003</v>
      </c>
      <c r="H431" s="9">
        <f>Summary!$E$12*(1+G431)</f>
        <v>6657936</v>
      </c>
      <c r="I431" s="9">
        <f>Summary!$E$12*(1+D431)</f>
        <v>5650707.3149781628</v>
      </c>
    </row>
    <row r="432" spans="1:9" ht="15" customHeight="1" x14ac:dyDescent="0.25">
      <c r="A432" s="2" t="s">
        <v>439</v>
      </c>
      <c r="B432" s="3">
        <v>26758.74</v>
      </c>
      <c r="C432" s="4">
        <f t="shared" si="24"/>
        <v>1.2418827676139443E-3</v>
      </c>
      <c r="D432" s="4">
        <f t="shared" si="25"/>
        <v>0.17869267312863824</v>
      </c>
      <c r="E432" s="3">
        <v>1387.16</v>
      </c>
      <c r="F432" s="4">
        <f t="shared" si="26"/>
        <v>6.4884973361323262E-5</v>
      </c>
      <c r="G432" s="4">
        <f t="shared" si="27"/>
        <v>0.38716000000000017</v>
      </c>
      <c r="H432" s="5">
        <f>Summary!$E$12*(1+G432)</f>
        <v>6658368.0000000009</v>
      </c>
      <c r="I432" s="5">
        <f>Summary!$E$12*(1+D432)</f>
        <v>5657724.8310174635</v>
      </c>
    </row>
    <row r="433" spans="1:9" ht="15" customHeight="1" x14ac:dyDescent="0.25">
      <c r="A433" s="6" t="s">
        <v>440</v>
      </c>
      <c r="B433" s="7">
        <v>26708.69</v>
      </c>
      <c r="C433" s="8">
        <f t="shared" si="24"/>
        <v>-1.870416917986506E-3</v>
      </c>
      <c r="D433" s="8">
        <f t="shared" si="25"/>
        <v>0.17648802641171168</v>
      </c>
      <c r="E433" s="7">
        <v>1388.26</v>
      </c>
      <c r="F433" s="8">
        <f t="shared" si="26"/>
        <v>7.9298711035491465E-4</v>
      </c>
      <c r="G433" s="8">
        <f t="shared" si="27"/>
        <v>0.38826000000000005</v>
      </c>
      <c r="H433" s="9">
        <f>Summary!$E$12*(1+G433)</f>
        <v>6663648</v>
      </c>
      <c r="I433" s="9">
        <f>Summary!$E$12*(1+D433)</f>
        <v>5647142.526776216</v>
      </c>
    </row>
    <row r="434" spans="1:9" ht="15" customHeight="1" x14ac:dyDescent="0.25">
      <c r="A434" s="2" t="s">
        <v>441</v>
      </c>
      <c r="B434" s="3">
        <v>26385.25</v>
      </c>
      <c r="C434" s="4">
        <f t="shared" si="24"/>
        <v>-1.2109916285673261E-2</v>
      </c>
      <c r="D434" s="4">
        <f t="shared" si="25"/>
        <v>0.162240854900769</v>
      </c>
      <c r="E434" s="3">
        <v>1386.73</v>
      </c>
      <c r="F434" s="4">
        <f t="shared" si="26"/>
        <v>-1.1020990304410061E-3</v>
      </c>
      <c r="G434" s="4">
        <f t="shared" si="27"/>
        <v>0.38673000000000002</v>
      </c>
      <c r="H434" s="5">
        <f>Summary!$E$12*(1+G434)</f>
        <v>6656304</v>
      </c>
      <c r="I434" s="5">
        <f>Summary!$E$12*(1+D434)</f>
        <v>5578756.1035236912</v>
      </c>
    </row>
    <row r="435" spans="1:9" ht="15" customHeight="1" x14ac:dyDescent="0.25">
      <c r="A435" s="6" t="s">
        <v>442</v>
      </c>
      <c r="B435" s="7">
        <v>26409.14</v>
      </c>
      <c r="C435" s="8">
        <f t="shared" si="24"/>
        <v>9.0543011720556343E-4</v>
      </c>
      <c r="D435" s="8">
        <f t="shared" si="25"/>
        <v>0.16329318277424276</v>
      </c>
      <c r="E435" s="7">
        <v>1385.89</v>
      </c>
      <c r="F435" s="8">
        <f t="shared" si="26"/>
        <v>-6.0574156468806706E-4</v>
      </c>
      <c r="G435" s="8">
        <f t="shared" si="27"/>
        <v>0.38589000000000007</v>
      </c>
      <c r="H435" s="9">
        <f>Summary!$E$12*(1+G435)</f>
        <v>6652272</v>
      </c>
      <c r="I435" s="9">
        <f>Summary!$E$12*(1+D435)</f>
        <v>5583807.2773163654</v>
      </c>
    </row>
    <row r="436" spans="1:9" ht="15" customHeight="1" x14ac:dyDescent="0.25">
      <c r="A436" s="2" t="s">
        <v>443</v>
      </c>
      <c r="B436" s="3">
        <v>26200.32</v>
      </c>
      <c r="C436" s="4">
        <f t="shared" si="24"/>
        <v>-7.907110947194762E-3</v>
      </c>
      <c r="D436" s="4">
        <f t="shared" si="25"/>
        <v>0.15409489451393155</v>
      </c>
      <c r="E436" s="3">
        <v>1384.01</v>
      </c>
      <c r="F436" s="4">
        <f t="shared" si="26"/>
        <v>-1.356529017454533E-3</v>
      </c>
      <c r="G436" s="4">
        <f t="shared" si="27"/>
        <v>0.38400999999999996</v>
      </c>
      <c r="H436" s="5">
        <f>Summary!$E$12*(1+G436)</f>
        <v>6643248</v>
      </c>
      <c r="I436" s="5">
        <f>Summary!$E$12*(1+D436)</f>
        <v>5539655.4936668715</v>
      </c>
    </row>
    <row r="437" spans="1:9" ht="15" customHeight="1" x14ac:dyDescent="0.25">
      <c r="A437" s="6" t="s">
        <v>444</v>
      </c>
      <c r="B437" s="7">
        <v>26296.3</v>
      </c>
      <c r="C437" s="8">
        <f t="shared" si="24"/>
        <v>3.6633140358590666E-3</v>
      </c>
      <c r="D437" s="8">
        <f t="shared" si="25"/>
        <v>0.15832270653971769</v>
      </c>
      <c r="E437" s="7">
        <v>1385.33</v>
      </c>
      <c r="F437" s="8">
        <f t="shared" si="26"/>
        <v>9.5375033417388622E-4</v>
      </c>
      <c r="G437" s="8">
        <f t="shared" si="27"/>
        <v>0.38532999999999995</v>
      </c>
      <c r="H437" s="9">
        <f>Summary!$E$12*(1+G437)</f>
        <v>6649584</v>
      </c>
      <c r="I437" s="9">
        <f>Summary!$E$12*(1+D437)</f>
        <v>5559948.9913906446</v>
      </c>
    </row>
    <row r="438" spans="1:9" ht="15" customHeight="1" x14ac:dyDescent="0.25">
      <c r="A438" s="2" t="s">
        <v>445</v>
      </c>
      <c r="B438" s="3">
        <v>26332</v>
      </c>
      <c r="C438" s="4">
        <f t="shared" si="24"/>
        <v>1.3576054425907813E-3</v>
      </c>
      <c r="D438" s="4">
        <f t="shared" si="25"/>
        <v>0.15989525175039265</v>
      </c>
      <c r="E438" s="3">
        <v>1386.28</v>
      </c>
      <c r="F438" s="4">
        <f t="shared" si="26"/>
        <v>6.8575718420893494E-4</v>
      </c>
      <c r="G438" s="4">
        <f t="shared" si="27"/>
        <v>0.38627999999999996</v>
      </c>
      <c r="H438" s="5">
        <f>Summary!$E$12*(1+G438)</f>
        <v>6654144</v>
      </c>
      <c r="I438" s="5">
        <f>Summary!$E$12*(1+D438)</f>
        <v>5567497.2084018849</v>
      </c>
    </row>
    <row r="439" spans="1:9" ht="15" customHeight="1" x14ac:dyDescent="0.25">
      <c r="A439" s="6" t="s">
        <v>446</v>
      </c>
      <c r="B439" s="7">
        <v>26301.51</v>
      </c>
      <c r="C439" s="8">
        <f t="shared" si="24"/>
        <v>-1.1579067294547052E-3</v>
      </c>
      <c r="D439" s="8">
        <f t="shared" si="25"/>
        <v>0.15855220123292835</v>
      </c>
      <c r="E439" s="7">
        <v>1384.33</v>
      </c>
      <c r="F439" s="8">
        <f t="shared" si="26"/>
        <v>-1.4066422367775555E-3</v>
      </c>
      <c r="G439" s="8">
        <f t="shared" si="27"/>
        <v>0.38432999999999984</v>
      </c>
      <c r="H439" s="9">
        <f>Summary!$E$12*(1+G439)</f>
        <v>6644783.9999999991</v>
      </c>
      <c r="I439" s="9">
        <f>Summary!$E$12*(1+D439)</f>
        <v>5561050.5659180563</v>
      </c>
    </row>
    <row r="440" spans="1:9" ht="15" customHeight="1" x14ac:dyDescent="0.25">
      <c r="A440" s="2" t="s">
        <v>447</v>
      </c>
      <c r="B440" s="3">
        <v>26705.1</v>
      </c>
      <c r="C440" s="4">
        <f t="shared" si="24"/>
        <v>1.5344746366273254E-2</v>
      </c>
      <c r="D440" s="4">
        <f t="shared" si="25"/>
        <v>0.17632989091293516</v>
      </c>
      <c r="E440" s="3">
        <v>1388.5</v>
      </c>
      <c r="F440" s="4">
        <f t="shared" si="26"/>
        <v>3.0122875325970799E-3</v>
      </c>
      <c r="G440" s="4">
        <f t="shared" si="27"/>
        <v>0.38850000000000007</v>
      </c>
      <c r="H440" s="5">
        <f>Summary!$E$12*(1+G440)</f>
        <v>6664800</v>
      </c>
      <c r="I440" s="5">
        <f>Summary!$E$12*(1+D440)</f>
        <v>5646383.4763820888</v>
      </c>
    </row>
    <row r="441" spans="1:9" ht="15" customHeight="1" x14ac:dyDescent="0.25">
      <c r="A441" s="6" t="s">
        <v>448</v>
      </c>
      <c r="B441" s="7">
        <v>26698.61</v>
      </c>
      <c r="C441" s="8">
        <f t="shared" si="24"/>
        <v>-2.4302474059256784E-4</v>
      </c>
      <c r="D441" s="8">
        <f t="shared" si="25"/>
        <v>0.17604401364634481</v>
      </c>
      <c r="E441" s="7">
        <v>1390.12</v>
      </c>
      <c r="F441" s="8">
        <f t="shared" si="26"/>
        <v>1.1667266834713974E-3</v>
      </c>
      <c r="G441" s="8">
        <f t="shared" si="27"/>
        <v>0.3901199999999998</v>
      </c>
      <c r="H441" s="9">
        <f>Summary!$E$12*(1+G441)</f>
        <v>6672575.9999999991</v>
      </c>
      <c r="I441" s="9">
        <f>Summary!$E$12*(1+D441)</f>
        <v>5645011.2655024547</v>
      </c>
    </row>
    <row r="442" spans="1:9" ht="15" customHeight="1" x14ac:dyDescent="0.25">
      <c r="A442" s="2" t="s">
        <v>449</v>
      </c>
      <c r="B442" s="3">
        <v>26336.62</v>
      </c>
      <c r="C442" s="4">
        <f t="shared" si="24"/>
        <v>-1.3558383751064218E-2</v>
      </c>
      <c r="D442" s="4">
        <f t="shared" si="25"/>
        <v>0.16009875760118586</v>
      </c>
      <c r="E442" s="3">
        <v>1388.29</v>
      </c>
      <c r="F442" s="4">
        <f t="shared" si="26"/>
        <v>-1.3164331136880092E-3</v>
      </c>
      <c r="G442" s="4">
        <f t="shared" si="27"/>
        <v>0.38829000000000002</v>
      </c>
      <c r="H442" s="5">
        <f>Summary!$E$12*(1+G442)</f>
        <v>6663792</v>
      </c>
      <c r="I442" s="5">
        <f>Summary!$E$12*(1+D442)</f>
        <v>5568474.0364856925</v>
      </c>
    </row>
    <row r="443" spans="1:9" ht="15" customHeight="1" x14ac:dyDescent="0.25">
      <c r="A443" s="6" t="s">
        <v>450</v>
      </c>
      <c r="B443" s="7">
        <v>26638.66</v>
      </c>
      <c r="C443" s="8">
        <f t="shared" si="24"/>
        <v>1.1468442040018845E-2</v>
      </c>
      <c r="D443" s="8">
        <f t="shared" si="25"/>
        <v>0.17340328296343288</v>
      </c>
      <c r="E443" s="7">
        <v>1394.12</v>
      </c>
      <c r="F443" s="8">
        <f t="shared" si="26"/>
        <v>4.1994107859308905E-3</v>
      </c>
      <c r="G443" s="8">
        <f t="shared" si="27"/>
        <v>0.3941199999999998</v>
      </c>
      <c r="H443" s="9">
        <f>Summary!$E$12*(1+G443)</f>
        <v>6691775.9999999991</v>
      </c>
      <c r="I443" s="9">
        <f>Summary!$E$12*(1+D443)</f>
        <v>5632335.758224478</v>
      </c>
    </row>
    <row r="444" spans="1:9" ht="15" customHeight="1" x14ac:dyDescent="0.25">
      <c r="A444" s="2" t="s">
        <v>451</v>
      </c>
      <c r="B444" s="3">
        <v>26655.74</v>
      </c>
      <c r="C444" s="4">
        <f t="shared" si="24"/>
        <v>6.4117339235547632E-4</v>
      </c>
      <c r="D444" s="4">
        <f t="shared" si="25"/>
        <v>0.17415563792697153</v>
      </c>
      <c r="E444" s="3">
        <v>1394.24</v>
      </c>
      <c r="F444" s="4">
        <f t="shared" si="26"/>
        <v>8.6075804091478858E-5</v>
      </c>
      <c r="G444" s="4">
        <f t="shared" si="27"/>
        <v>0.39423999999999992</v>
      </c>
      <c r="H444" s="5">
        <f>Summary!$E$12*(1+G444)</f>
        <v>6692352</v>
      </c>
      <c r="I444" s="5">
        <f>Summary!$E$12*(1+D444)</f>
        <v>5635947.0620494634</v>
      </c>
    </row>
    <row r="445" spans="1:9" ht="15" customHeight="1" x14ac:dyDescent="0.25">
      <c r="A445" s="6" t="s">
        <v>452</v>
      </c>
      <c r="B445" s="7">
        <v>26775.1</v>
      </c>
      <c r="C445" s="8">
        <f t="shared" si="24"/>
        <v>4.4778347928062789E-3</v>
      </c>
      <c r="D445" s="8">
        <f t="shared" si="25"/>
        <v>0.17941331289465046</v>
      </c>
      <c r="E445" s="7">
        <v>1398.19</v>
      </c>
      <c r="F445" s="8">
        <f t="shared" si="26"/>
        <v>2.8330846913013907E-3</v>
      </c>
      <c r="G445" s="8">
        <f t="shared" si="27"/>
        <v>0.39819000000000004</v>
      </c>
      <c r="H445" s="9">
        <f>Summary!$E$12*(1+G445)</f>
        <v>6711312</v>
      </c>
      <c r="I445" s="9">
        <f>Summary!$E$12*(1+D445)</f>
        <v>5661183.9018943226</v>
      </c>
    </row>
    <row r="446" spans="1:9" ht="15" customHeight="1" x14ac:dyDescent="0.25">
      <c r="A446" s="2" t="s">
        <v>453</v>
      </c>
      <c r="B446" s="3">
        <v>26775.1</v>
      </c>
      <c r="C446" s="4">
        <f t="shared" si="24"/>
        <v>0</v>
      </c>
      <c r="D446" s="4">
        <f t="shared" si="25"/>
        <v>0.17941331289465046</v>
      </c>
      <c r="E446" s="3">
        <v>1399.39</v>
      </c>
      <c r="F446" s="4">
        <f t="shared" si="26"/>
        <v>8.5825245495962932E-4</v>
      </c>
      <c r="G446" s="4">
        <f t="shared" si="27"/>
        <v>0.39939000000000013</v>
      </c>
      <c r="H446" s="5">
        <f>Summary!$E$12*(1+G446)</f>
        <v>6717072.0000000009</v>
      </c>
      <c r="I446" s="5">
        <f>Summary!$E$12*(1+D446)</f>
        <v>5661183.9018943226</v>
      </c>
    </row>
    <row r="447" spans="1:9" ht="15" customHeight="1" x14ac:dyDescent="0.25">
      <c r="A447" s="6" t="s">
        <v>454</v>
      </c>
      <c r="B447" s="7">
        <v>26733.07</v>
      </c>
      <c r="C447" s="8">
        <f t="shared" si="24"/>
        <v>-1.5697420364442216E-3</v>
      </c>
      <c r="D447" s="8">
        <f t="shared" si="25"/>
        <v>0.17756193823905764</v>
      </c>
      <c r="E447" s="7">
        <v>1397.61</v>
      </c>
      <c r="F447" s="8">
        <f t="shared" si="26"/>
        <v>-1.2719827925026239E-3</v>
      </c>
      <c r="G447" s="8">
        <f t="shared" si="27"/>
        <v>0.3976099999999998</v>
      </c>
      <c r="H447" s="9">
        <f>Summary!$E$12*(1+G447)</f>
        <v>6708527.9999999991</v>
      </c>
      <c r="I447" s="9">
        <f>Summary!$E$12*(1+D447)</f>
        <v>5652297.3035474764</v>
      </c>
    </row>
    <row r="448" spans="1:9" ht="15" customHeight="1" x14ac:dyDescent="0.25">
      <c r="A448" s="2" t="s">
        <v>455</v>
      </c>
      <c r="B448" s="3">
        <v>26502.32</v>
      </c>
      <c r="C448" s="4">
        <f t="shared" si="24"/>
        <v>-8.6316311594590855E-3</v>
      </c>
      <c r="D448" s="4">
        <f t="shared" si="25"/>
        <v>0.16739765792076056</v>
      </c>
      <c r="E448" s="3">
        <v>1396.51</v>
      </c>
      <c r="F448" s="4">
        <f t="shared" si="26"/>
        <v>-7.8705790599664649E-4</v>
      </c>
      <c r="G448" s="4">
        <f t="shared" si="27"/>
        <v>0.39650999999999992</v>
      </c>
      <c r="H448" s="5">
        <f>Summary!$E$12*(1+G448)</f>
        <v>6703248</v>
      </c>
      <c r="I448" s="5">
        <f>Summary!$E$12*(1+D448)</f>
        <v>5603508.7580196504</v>
      </c>
    </row>
    <row r="449" spans="1:9" ht="15" customHeight="1" x14ac:dyDescent="0.25">
      <c r="A449" s="6" t="s">
        <v>456</v>
      </c>
      <c r="B449" s="7">
        <v>26569.68</v>
      </c>
      <c r="C449" s="8">
        <f t="shared" si="24"/>
        <v>2.5416642769386932E-3</v>
      </c>
      <c r="D449" s="8">
        <f t="shared" si="25"/>
        <v>0.17036479084487977</v>
      </c>
      <c r="E449" s="7">
        <v>1397.14</v>
      </c>
      <c r="F449" s="8">
        <f t="shared" si="26"/>
        <v>4.5112458915452791E-4</v>
      </c>
      <c r="G449" s="8">
        <f t="shared" si="27"/>
        <v>0.39714000000000005</v>
      </c>
      <c r="H449" s="9">
        <f>Summary!$E$12*(1+G449)</f>
        <v>6706272</v>
      </c>
      <c r="I449" s="9">
        <f>Summary!$E$12*(1+D449)</f>
        <v>5617750.9960554233</v>
      </c>
    </row>
    <row r="450" spans="1:9" ht="15" customHeight="1" x14ac:dyDescent="0.25">
      <c r="A450" s="2" t="s">
        <v>457</v>
      </c>
      <c r="B450" s="3">
        <v>26330.35</v>
      </c>
      <c r="C450" s="4">
        <f t="shared" si="24"/>
        <v>-9.0076357713002597E-3</v>
      </c>
      <c r="D450" s="4">
        <f t="shared" si="25"/>
        <v>0.15982257108939502</v>
      </c>
      <c r="E450" s="3">
        <v>1395.64</v>
      </c>
      <c r="F450" s="4">
        <f t="shared" si="26"/>
        <v>-1.073621827447524E-3</v>
      </c>
      <c r="G450" s="4">
        <f t="shared" si="27"/>
        <v>0.39563999999999999</v>
      </c>
      <c r="H450" s="5">
        <f>Summary!$E$12*(1+G450)</f>
        <v>6699072</v>
      </c>
      <c r="I450" s="5">
        <f>Summary!$E$12*(1+D450)</f>
        <v>5567148.3412290961</v>
      </c>
    </row>
    <row r="451" spans="1:9" ht="15" customHeight="1" x14ac:dyDescent="0.25">
      <c r="A451" s="6" t="s">
        <v>458</v>
      </c>
      <c r="B451" s="7">
        <v>25969.73</v>
      </c>
      <c r="C451" s="8">
        <f t="shared" ref="C451:C514" si="28">B451/B450-1</f>
        <v>-1.369598201315203E-2</v>
      </c>
      <c r="D451" s="8">
        <f t="shared" ref="D451:D514" si="29">B451/$B$2-1</f>
        <v>0.14393766201730673</v>
      </c>
      <c r="E451" s="7">
        <v>1392.05</v>
      </c>
      <c r="F451" s="8">
        <f t="shared" ref="F451:F514" si="30">E451/E450-1</f>
        <v>-2.5722965807802867E-3</v>
      </c>
      <c r="G451" s="8">
        <f t="shared" ref="G451:G514" si="31">E451/$E$2-1</f>
        <v>0.39205000000000001</v>
      </c>
      <c r="H451" s="9">
        <f>Summary!$E$12*(1+G451)</f>
        <v>6681840</v>
      </c>
      <c r="I451" s="9">
        <f>Summary!$E$12*(1+D451)</f>
        <v>5490900.7776830727</v>
      </c>
    </row>
    <row r="452" spans="1:9" ht="15" customHeight="1" x14ac:dyDescent="0.25">
      <c r="A452" s="2" t="s">
        <v>459</v>
      </c>
      <c r="B452" s="3">
        <v>25794.91</v>
      </c>
      <c r="C452" s="4">
        <f t="shared" si="28"/>
        <v>-6.731683386773768E-3</v>
      </c>
      <c r="D452" s="4">
        <f t="shared" si="29"/>
        <v>0.1362370358624001</v>
      </c>
      <c r="E452" s="3">
        <v>1392.05</v>
      </c>
      <c r="F452" s="4">
        <f t="shared" si="30"/>
        <v>0</v>
      </c>
      <c r="G452" s="4">
        <f t="shared" si="31"/>
        <v>0.39205000000000001</v>
      </c>
      <c r="H452" s="5">
        <f>Summary!$E$12*(1+G452)</f>
        <v>6681840</v>
      </c>
      <c r="I452" s="5">
        <f>Summary!$E$12*(1+D452)</f>
        <v>5453937.7721395204</v>
      </c>
    </row>
    <row r="453" spans="1:9" ht="15" customHeight="1" x14ac:dyDescent="0.25">
      <c r="A453" s="6" t="s">
        <v>460</v>
      </c>
      <c r="B453" s="7">
        <v>25695.78</v>
      </c>
      <c r="C453" s="8">
        <f t="shared" si="28"/>
        <v>-3.8430062365016893E-3</v>
      </c>
      <c r="D453" s="8">
        <f t="shared" si="29"/>
        <v>0.13187046984743667</v>
      </c>
      <c r="E453" s="7">
        <v>1391.67</v>
      </c>
      <c r="F453" s="8">
        <f t="shared" si="30"/>
        <v>-2.7297870047759965E-4</v>
      </c>
      <c r="G453" s="8">
        <f t="shared" si="31"/>
        <v>0.39166999999999996</v>
      </c>
      <c r="H453" s="9">
        <f>Summary!$E$12*(1+G453)</f>
        <v>6680016</v>
      </c>
      <c r="I453" s="9">
        <f>Summary!$E$12*(1+D453)</f>
        <v>5432978.2552676965</v>
      </c>
    </row>
    <row r="454" spans="1:9" ht="15" customHeight="1" x14ac:dyDescent="0.25">
      <c r="A454" s="2" t="s">
        <v>461</v>
      </c>
      <c r="B454" s="3">
        <v>25732.48</v>
      </c>
      <c r="C454" s="4">
        <f t="shared" si="28"/>
        <v>1.428250086200844E-3</v>
      </c>
      <c r="D454" s="4">
        <f t="shared" si="29"/>
        <v>0.13348706394356458</v>
      </c>
      <c r="E454" s="3">
        <v>1392.07</v>
      </c>
      <c r="F454" s="4">
        <f t="shared" si="30"/>
        <v>2.87424461258734E-4</v>
      </c>
      <c r="G454" s="4">
        <f t="shared" si="31"/>
        <v>0.39206999999999992</v>
      </c>
      <c r="H454" s="5">
        <f>Summary!$E$12*(1+G454)</f>
        <v>6681936</v>
      </c>
      <c r="I454" s="5">
        <f>Summary!$E$12*(1+D454)</f>
        <v>5440737.9069291102</v>
      </c>
    </row>
    <row r="455" spans="1:9" ht="15" customHeight="1" x14ac:dyDescent="0.25">
      <c r="A455" s="6" t="s">
        <v>462</v>
      </c>
      <c r="B455" s="7">
        <v>25589.82</v>
      </c>
      <c r="C455" s="8">
        <f t="shared" si="28"/>
        <v>-5.5439662247867005E-3</v>
      </c>
      <c r="D455" s="8">
        <f t="shared" si="29"/>
        <v>0.12720304994482889</v>
      </c>
      <c r="E455" s="7">
        <v>1392.1</v>
      </c>
      <c r="F455" s="8">
        <f t="shared" si="30"/>
        <v>2.1550640413092736E-5</v>
      </c>
      <c r="G455" s="8">
        <f t="shared" si="31"/>
        <v>0.39209999999999989</v>
      </c>
      <c r="H455" s="9">
        <f>Summary!$E$12*(1+G455)</f>
        <v>6682079.9999999991</v>
      </c>
      <c r="I455" s="9">
        <f>Summary!$E$12*(1+D455)</f>
        <v>5410574.639735179</v>
      </c>
    </row>
    <row r="456" spans="1:9" ht="15" customHeight="1" x14ac:dyDescent="0.25">
      <c r="A456" s="2" t="s">
        <v>463</v>
      </c>
      <c r="B456" s="3">
        <v>25413.29</v>
      </c>
      <c r="C456" s="4">
        <f t="shared" si="28"/>
        <v>-6.8984463353004566E-3</v>
      </c>
      <c r="D456" s="4">
        <f t="shared" si="29"/>
        <v>0.11942710019579739</v>
      </c>
      <c r="E456" s="3">
        <v>1390.86</v>
      </c>
      <c r="F456" s="4">
        <f t="shared" si="30"/>
        <v>-8.9074060771499042E-4</v>
      </c>
      <c r="G456" s="4">
        <f t="shared" si="31"/>
        <v>0.39085999999999999</v>
      </c>
      <c r="H456" s="5">
        <f>Summary!$E$12*(1+G456)</f>
        <v>6676128</v>
      </c>
      <c r="I456" s="5">
        <f>Summary!$E$12*(1+D456)</f>
        <v>5373250.0809398275</v>
      </c>
    </row>
    <row r="457" spans="1:9" ht="15" customHeight="1" x14ac:dyDescent="0.25">
      <c r="A457" s="6" t="s">
        <v>464</v>
      </c>
      <c r="B457" s="7">
        <v>25410.39</v>
      </c>
      <c r="C457" s="8">
        <f t="shared" si="28"/>
        <v>-1.1411352091761362E-4</v>
      </c>
      <c r="D457" s="8">
        <f t="shared" si="29"/>
        <v>0.11929935842798334</v>
      </c>
      <c r="E457" s="7">
        <v>1390.67</v>
      </c>
      <c r="F457" s="8">
        <f t="shared" si="30"/>
        <v>-1.3660612858223953E-4</v>
      </c>
      <c r="G457" s="8">
        <f t="shared" si="31"/>
        <v>0.39067000000000007</v>
      </c>
      <c r="H457" s="9">
        <f>Summary!$E$12*(1+G457)</f>
        <v>6675216</v>
      </c>
      <c r="I457" s="9">
        <f>Summary!$E$12*(1+D457)</f>
        <v>5372636.9204543196</v>
      </c>
    </row>
    <row r="458" spans="1:9" ht="15" customHeight="1" x14ac:dyDescent="0.25">
      <c r="A458" s="2" t="s">
        <v>465</v>
      </c>
      <c r="B458" s="3">
        <v>25362.68</v>
      </c>
      <c r="C458" s="4">
        <f t="shared" si="28"/>
        <v>-1.8775784236290116E-3</v>
      </c>
      <c r="D458" s="4">
        <f t="shared" si="29"/>
        <v>0.11719778610301712</v>
      </c>
      <c r="E458" s="3">
        <v>1392.11</v>
      </c>
      <c r="F458" s="4">
        <f t="shared" si="30"/>
        <v>1.0354721105652054E-3</v>
      </c>
      <c r="G458" s="4">
        <f t="shared" si="31"/>
        <v>0.39210999999999996</v>
      </c>
      <c r="H458" s="5">
        <f>Summary!$E$12*(1+G458)</f>
        <v>6682128</v>
      </c>
      <c r="I458" s="5">
        <f>Summary!$E$12*(1+D458)</f>
        <v>5362549.373294482</v>
      </c>
    </row>
    <row r="459" spans="1:9" ht="15" customHeight="1" x14ac:dyDescent="0.25">
      <c r="A459" s="6" t="s">
        <v>466</v>
      </c>
      <c r="B459" s="7">
        <v>25416.400000000001</v>
      </c>
      <c r="C459" s="8">
        <f t="shared" si="28"/>
        <v>2.1180726957876761E-3</v>
      </c>
      <c r="D459" s="8">
        <f t="shared" si="29"/>
        <v>0.11956409222955644</v>
      </c>
      <c r="E459" s="7">
        <v>1392.55</v>
      </c>
      <c r="F459" s="8">
        <f t="shared" si="30"/>
        <v>3.1606697746600076E-4</v>
      </c>
      <c r="G459" s="8">
        <f t="shared" si="31"/>
        <v>0.39254999999999995</v>
      </c>
      <c r="H459" s="9">
        <f>Summary!$E$12*(1+G459)</f>
        <v>6684240</v>
      </c>
      <c r="I459" s="9">
        <f>Summary!$E$12*(1+D459)</f>
        <v>5373907.6427018708</v>
      </c>
    </row>
    <row r="460" spans="1:9" ht="15" customHeight="1" x14ac:dyDescent="0.25">
      <c r="A460" s="2" t="s">
        <v>467</v>
      </c>
      <c r="B460" s="3">
        <v>25425</v>
      </c>
      <c r="C460" s="4">
        <f t="shared" si="28"/>
        <v>3.3836420578836623E-4</v>
      </c>
      <c r="D460" s="4">
        <f t="shared" si="29"/>
        <v>0.11994291264445289</v>
      </c>
      <c r="E460" s="3">
        <v>1392.2</v>
      </c>
      <c r="F460" s="4">
        <f t="shared" si="30"/>
        <v>-2.5133747441741239E-4</v>
      </c>
      <c r="G460" s="4">
        <f t="shared" si="31"/>
        <v>0.3922000000000001</v>
      </c>
      <c r="H460" s="5">
        <f>Summary!$E$12*(1+G460)</f>
        <v>6682560.0000000009</v>
      </c>
      <c r="I460" s="5">
        <f>Summary!$E$12*(1+D460)</f>
        <v>5375725.9806933738</v>
      </c>
    </row>
    <row r="461" spans="1:9" ht="15" customHeight="1" x14ac:dyDescent="0.25">
      <c r="A461" s="6" t="s">
        <v>468</v>
      </c>
      <c r="B461" s="7">
        <v>25207.77</v>
      </c>
      <c r="C461" s="8">
        <f t="shared" si="28"/>
        <v>-8.5439528023598665E-3</v>
      </c>
      <c r="D461" s="8">
        <f t="shared" si="29"/>
        <v>0.11037417325748122</v>
      </c>
      <c r="E461" s="7">
        <v>1389.51</v>
      </c>
      <c r="F461" s="8">
        <f t="shared" si="30"/>
        <v>-1.9321936503375881E-3</v>
      </c>
      <c r="G461" s="8">
        <f t="shared" si="31"/>
        <v>0.38951000000000002</v>
      </c>
      <c r="H461" s="9">
        <f>Summary!$E$12*(1+G461)</f>
        <v>6669648</v>
      </c>
      <c r="I461" s="9">
        <f>Summary!$E$12*(1+D461)</f>
        <v>5329796.0316359103</v>
      </c>
    </row>
    <row r="462" spans="1:9" ht="15" customHeight="1" x14ac:dyDescent="0.25">
      <c r="A462" s="2" t="s">
        <v>469</v>
      </c>
      <c r="B462" s="3">
        <v>25507.5</v>
      </c>
      <c r="C462" s="4">
        <f t="shared" si="28"/>
        <v>1.1890381418110385E-2</v>
      </c>
      <c r="D462" s="4">
        <f t="shared" si="29"/>
        <v>0.12357694569433164</v>
      </c>
      <c r="E462" s="3">
        <v>1391.34</v>
      </c>
      <c r="F462" s="4">
        <f t="shared" si="30"/>
        <v>1.3170110326661266E-3</v>
      </c>
      <c r="G462" s="4">
        <f t="shared" si="31"/>
        <v>0.39134000000000002</v>
      </c>
      <c r="H462" s="5">
        <f>Summary!$E$12*(1+G462)</f>
        <v>6678432</v>
      </c>
      <c r="I462" s="5">
        <f>Summary!$E$12*(1+D462)</f>
        <v>5393169.339332792</v>
      </c>
    </row>
    <row r="463" spans="1:9" ht="15" customHeight="1" x14ac:dyDescent="0.25">
      <c r="A463" s="6" t="s">
        <v>470</v>
      </c>
      <c r="B463" s="7">
        <v>25305.67</v>
      </c>
      <c r="C463" s="8">
        <f t="shared" si="28"/>
        <v>-7.9125747329217289E-3</v>
      </c>
      <c r="D463" s="8">
        <f t="shared" si="29"/>
        <v>0.11468655914333725</v>
      </c>
      <c r="E463" s="7">
        <v>1388.81</v>
      </c>
      <c r="F463" s="8">
        <f t="shared" si="30"/>
        <v>-1.8183909037330359E-3</v>
      </c>
      <c r="G463" s="8">
        <f t="shared" si="31"/>
        <v>0.38880999999999988</v>
      </c>
      <c r="H463" s="9">
        <f>Summary!$E$12*(1+G463)</f>
        <v>6666287.9999999991</v>
      </c>
      <c r="I463" s="9">
        <f>Summary!$E$12*(1+D463)</f>
        <v>5350495.4838880189</v>
      </c>
    </row>
    <row r="464" spans="1:9" ht="15" customHeight="1" x14ac:dyDescent="0.25">
      <c r="A464" s="2" t="s">
        <v>471</v>
      </c>
      <c r="B464" s="3">
        <v>25454.82</v>
      </c>
      <c r="C464" s="4">
        <f t="shared" si="28"/>
        <v>5.8939360230336746E-3</v>
      </c>
      <c r="D464" s="4">
        <f t="shared" si="29"/>
        <v>0.12125645040866351</v>
      </c>
      <c r="E464" s="3">
        <v>1393.13</v>
      </c>
      <c r="F464" s="4">
        <f t="shared" si="30"/>
        <v>3.1105766807555391E-3</v>
      </c>
      <c r="G464" s="4">
        <f t="shared" si="31"/>
        <v>0.3931300000000002</v>
      </c>
      <c r="H464" s="5">
        <f>Summary!$E$12*(1+G464)</f>
        <v>6687024.0000000009</v>
      </c>
      <c r="I464" s="5">
        <f>Summary!$E$12*(1+D464)</f>
        <v>5382030.9619615851</v>
      </c>
    </row>
    <row r="465" spans="1:9" ht="15" customHeight="1" x14ac:dyDescent="0.25">
      <c r="A465" s="6" t="s">
        <v>472</v>
      </c>
      <c r="B465" s="7">
        <v>25581.040000000001</v>
      </c>
      <c r="C465" s="8">
        <f t="shared" si="28"/>
        <v>4.9585893752146504E-3</v>
      </c>
      <c r="D465" s="8">
        <f t="shared" si="29"/>
        <v>0.12681630073055095</v>
      </c>
      <c r="E465" s="7">
        <v>1393.74</v>
      </c>
      <c r="F465" s="8">
        <f t="shared" si="30"/>
        <v>4.3786294172099005E-4</v>
      </c>
      <c r="G465" s="8">
        <f t="shared" si="31"/>
        <v>0.39373999999999998</v>
      </c>
      <c r="H465" s="9">
        <f>Summary!$E$12*(1+G465)</f>
        <v>6689952</v>
      </c>
      <c r="I465" s="9">
        <f>Summary!$E$12*(1+D465)</f>
        <v>5408718.2435066449</v>
      </c>
    </row>
    <row r="466" spans="1:9" ht="15" customHeight="1" x14ac:dyDescent="0.25">
      <c r="A466" s="2" t="s">
        <v>473</v>
      </c>
      <c r="B466" s="3">
        <v>25439.9</v>
      </c>
      <c r="C466" s="4">
        <f t="shared" si="28"/>
        <v>-5.5173675503419339E-3</v>
      </c>
      <c r="D466" s="4">
        <f t="shared" si="29"/>
        <v>0.1205992410377037</v>
      </c>
      <c r="E466" s="3">
        <v>1392.57</v>
      </c>
      <c r="F466" s="4">
        <f t="shared" si="30"/>
        <v>-8.3946790649624958E-4</v>
      </c>
      <c r="G466" s="4">
        <f t="shared" si="31"/>
        <v>0.39256999999999986</v>
      </c>
      <c r="H466" s="5">
        <f>Summary!$E$12*(1+G466)</f>
        <v>6684335.9999999991</v>
      </c>
      <c r="I466" s="5">
        <f>Summary!$E$12*(1+D466)</f>
        <v>5378876.3569809776</v>
      </c>
    </row>
    <row r="467" spans="1:9" ht="15" customHeight="1" x14ac:dyDescent="0.25">
      <c r="A467" s="6" t="s">
        <v>474</v>
      </c>
      <c r="B467" s="7">
        <v>25407.66</v>
      </c>
      <c r="C467" s="8">
        <f t="shared" si="28"/>
        <v>-1.2673005790118097E-3</v>
      </c>
      <c r="D467" s="8">
        <f t="shared" si="29"/>
        <v>0.1191791049706965</v>
      </c>
      <c r="E467" s="7">
        <v>1391.19</v>
      </c>
      <c r="F467" s="8">
        <f t="shared" si="30"/>
        <v>-9.9097352377253145E-4</v>
      </c>
      <c r="G467" s="8">
        <f t="shared" si="31"/>
        <v>0.39119000000000015</v>
      </c>
      <c r="H467" s="9">
        <f>Summary!$E$12*(1+G467)</f>
        <v>6677712.0000000009</v>
      </c>
      <c r="I467" s="9">
        <f>Summary!$E$12*(1+D467)</f>
        <v>5372059.7038593432</v>
      </c>
    </row>
    <row r="468" spans="1:9" ht="15" customHeight="1" x14ac:dyDescent="0.25">
      <c r="A468" s="2" t="s">
        <v>475</v>
      </c>
      <c r="B468" s="3">
        <v>25306.39</v>
      </c>
      <c r="C468" s="4">
        <f t="shared" si="28"/>
        <v>-3.9858058553995379E-3</v>
      </c>
      <c r="D468" s="4">
        <f t="shared" si="29"/>
        <v>0.11471827434086346</v>
      </c>
      <c r="E468" s="3">
        <v>1389.68</v>
      </c>
      <c r="F468" s="4">
        <f t="shared" si="30"/>
        <v>-1.085401706452771E-3</v>
      </c>
      <c r="G468" s="4">
        <f t="shared" si="31"/>
        <v>0.38968000000000003</v>
      </c>
      <c r="H468" s="5">
        <f>Summary!$E$12*(1+G468)</f>
        <v>6670464</v>
      </c>
      <c r="I468" s="5">
        <f>Summary!$E$12*(1+D468)</f>
        <v>5350647.7168361442</v>
      </c>
    </row>
    <row r="469" spans="1:9" ht="15" customHeight="1" x14ac:dyDescent="0.25">
      <c r="A469" s="6" t="s">
        <v>476</v>
      </c>
      <c r="B469" s="7">
        <v>25389.06</v>
      </c>
      <c r="C469" s="8">
        <f t="shared" si="28"/>
        <v>3.2667638489725093E-3</v>
      </c>
      <c r="D469" s="8">
        <f t="shared" si="29"/>
        <v>0.11835979570126942</v>
      </c>
      <c r="E469" s="7">
        <v>1392.85</v>
      </c>
      <c r="F469" s="8">
        <f t="shared" si="30"/>
        <v>2.2811006850496085E-3</v>
      </c>
      <c r="G469" s="8">
        <f t="shared" si="31"/>
        <v>0.39284999999999992</v>
      </c>
      <c r="H469" s="9">
        <f>Summary!$E$12*(1+G469)</f>
        <v>6685680</v>
      </c>
      <c r="I469" s="9">
        <f>Summary!$E$12*(1+D469)</f>
        <v>5368127.019366093</v>
      </c>
    </row>
    <row r="470" spans="1:9" ht="15" customHeight="1" x14ac:dyDescent="0.25">
      <c r="A470" s="2" t="s">
        <v>477</v>
      </c>
      <c r="B470" s="3">
        <v>25519.11</v>
      </c>
      <c r="C470" s="4">
        <f t="shared" si="28"/>
        <v>5.122284952652878E-3</v>
      </c>
      <c r="D470" s="4">
        <f t="shared" si="29"/>
        <v>0.1240883532544419</v>
      </c>
      <c r="E470" s="3">
        <v>1395.76</v>
      </c>
      <c r="F470" s="4">
        <f t="shared" si="30"/>
        <v>2.0892414832898165E-3</v>
      </c>
      <c r="G470" s="4">
        <f t="shared" si="31"/>
        <v>0.39575999999999989</v>
      </c>
      <c r="H470" s="5">
        <f>Summary!$E$12*(1+G470)</f>
        <v>6699647.9999999991</v>
      </c>
      <c r="I470" s="5">
        <f>Summary!$E$12*(1+D470)</f>
        <v>5395624.0956213214</v>
      </c>
    </row>
    <row r="471" spans="1:9" ht="15" customHeight="1" x14ac:dyDescent="0.25">
      <c r="A471" s="6" t="s">
        <v>478</v>
      </c>
      <c r="B471" s="7">
        <v>25500.39</v>
      </c>
      <c r="C471" s="8">
        <f t="shared" si="28"/>
        <v>-7.3356790264245131E-4</v>
      </c>
      <c r="D471" s="8">
        <f t="shared" si="29"/>
        <v>0.12326375811876011</v>
      </c>
      <c r="E471" s="7">
        <v>1395.15</v>
      </c>
      <c r="F471" s="8">
        <f t="shared" si="30"/>
        <v>-4.3703788616944461E-4</v>
      </c>
      <c r="G471" s="8">
        <f t="shared" si="31"/>
        <v>0.39515000000000011</v>
      </c>
      <c r="H471" s="9">
        <f>Summary!$E$12*(1+G471)</f>
        <v>6696720.0000000009</v>
      </c>
      <c r="I471" s="9">
        <f>Summary!$E$12*(1+D471)</f>
        <v>5391666.0389700485</v>
      </c>
    </row>
    <row r="472" spans="1:9" ht="15" customHeight="1" x14ac:dyDescent="0.25">
      <c r="A472" s="2" t="s">
        <v>479</v>
      </c>
      <c r="B472" s="3">
        <v>25517.23</v>
      </c>
      <c r="C472" s="4">
        <f t="shared" si="28"/>
        <v>6.6038205690177598E-4</v>
      </c>
      <c r="D472" s="4">
        <f t="shared" si="29"/>
        <v>0.12400554134979003</v>
      </c>
      <c r="E472" s="3">
        <v>1395.7</v>
      </c>
      <c r="F472" s="4">
        <f t="shared" si="30"/>
        <v>3.9422284342172098E-4</v>
      </c>
      <c r="G472" s="4">
        <f t="shared" si="31"/>
        <v>0.39569999999999994</v>
      </c>
      <c r="H472" s="5">
        <f>Summary!$E$12*(1+G472)</f>
        <v>6699360</v>
      </c>
      <c r="I472" s="5">
        <f>Summary!$E$12*(1+D472)</f>
        <v>5395226.5984789925</v>
      </c>
    </row>
    <row r="473" spans="1:9" ht="15" customHeight="1" x14ac:dyDescent="0.25">
      <c r="A473" s="6" t="s">
        <v>480</v>
      </c>
      <c r="B473" s="7">
        <v>25391.35</v>
      </c>
      <c r="C473" s="8">
        <f t="shared" si="28"/>
        <v>-4.9331373350477437E-3</v>
      </c>
      <c r="D473" s="8">
        <f t="shared" si="29"/>
        <v>0.1184606676489568</v>
      </c>
      <c r="E473" s="7">
        <v>1393.65</v>
      </c>
      <c r="F473" s="8">
        <f t="shared" si="30"/>
        <v>-1.4687970194167121E-3</v>
      </c>
      <c r="G473" s="8">
        <f t="shared" si="31"/>
        <v>0.39365000000000006</v>
      </c>
      <c r="H473" s="9">
        <f>Summary!$E$12*(1+G473)</f>
        <v>6689520</v>
      </c>
      <c r="I473" s="9">
        <f>Summary!$E$12*(1+D473)</f>
        <v>5368611.204714993</v>
      </c>
    </row>
    <row r="474" spans="1:9" ht="15" customHeight="1" x14ac:dyDescent="0.25">
      <c r="A474" s="2" t="s">
        <v>481</v>
      </c>
      <c r="B474" s="3">
        <v>25487.64</v>
      </c>
      <c r="C474" s="4">
        <f t="shared" si="28"/>
        <v>3.7922363324518482E-3</v>
      </c>
      <c r="D474" s="4">
        <f t="shared" si="29"/>
        <v>0.12270213482923342</v>
      </c>
      <c r="E474" s="3">
        <v>1394.09</v>
      </c>
      <c r="F474" s="4">
        <f t="shared" si="30"/>
        <v>3.1571771965688278E-4</v>
      </c>
      <c r="G474" s="4">
        <f t="shared" si="31"/>
        <v>0.39408999999999983</v>
      </c>
      <c r="H474" s="5">
        <f>Summary!$E$12*(1+G474)</f>
        <v>6691631.9999999991</v>
      </c>
      <c r="I474" s="5">
        <f>Summary!$E$12*(1+D474)</f>
        <v>5388970.2471803203</v>
      </c>
    </row>
    <row r="475" spans="1:9" ht="15" customHeight="1" x14ac:dyDescent="0.25">
      <c r="A475" s="6" t="s">
        <v>482</v>
      </c>
      <c r="B475" s="7">
        <v>25575.1</v>
      </c>
      <c r="C475" s="8">
        <f t="shared" si="28"/>
        <v>3.4314671738928659E-3</v>
      </c>
      <c r="D475" s="8">
        <f t="shared" si="29"/>
        <v>0.12655465035095936</v>
      </c>
      <c r="E475" s="7">
        <v>1394.26</v>
      </c>
      <c r="F475" s="8">
        <f t="shared" si="30"/>
        <v>1.2194334655579731E-4</v>
      </c>
      <c r="G475" s="8">
        <f t="shared" si="31"/>
        <v>0.39426000000000005</v>
      </c>
      <c r="H475" s="9">
        <f>Summary!$E$12*(1+G475)</f>
        <v>6692448</v>
      </c>
      <c r="I475" s="9">
        <f>Summary!$E$12*(1+D475)</f>
        <v>5407462.3216846045</v>
      </c>
    </row>
    <row r="476" spans="1:9" ht="15" customHeight="1" x14ac:dyDescent="0.25">
      <c r="A476" s="2" t="s">
        <v>483</v>
      </c>
      <c r="B476" s="3">
        <v>25523.82</v>
      </c>
      <c r="C476" s="4">
        <f t="shared" si="28"/>
        <v>-2.0050752489726431E-3</v>
      </c>
      <c r="D476" s="4">
        <f t="shared" si="29"/>
        <v>0.12429582350492585</v>
      </c>
      <c r="E476" s="3">
        <v>1392.93</v>
      </c>
      <c r="F476" s="4">
        <f t="shared" si="30"/>
        <v>-9.5391103524444798E-4</v>
      </c>
      <c r="G476" s="4">
        <f t="shared" si="31"/>
        <v>0.39293</v>
      </c>
      <c r="H476" s="5">
        <f>Summary!$E$12*(1+G476)</f>
        <v>6686064</v>
      </c>
      <c r="I476" s="5">
        <f>Summary!$E$12*(1+D476)</f>
        <v>5396619.9528236445</v>
      </c>
    </row>
    <row r="477" spans="1:9" ht="15" customHeight="1" x14ac:dyDescent="0.25">
      <c r="A477" s="6" t="s">
        <v>484</v>
      </c>
      <c r="B477" s="7">
        <v>25353.59</v>
      </c>
      <c r="C477" s="8">
        <f t="shared" si="28"/>
        <v>-6.6694562177604944E-3</v>
      </c>
      <c r="D477" s="8">
        <f t="shared" si="29"/>
        <v>0.1167973817342487</v>
      </c>
      <c r="E477" s="7">
        <v>1391.85</v>
      </c>
      <c r="F477" s="8">
        <f t="shared" si="30"/>
        <v>-7.7534405892620839E-4</v>
      </c>
      <c r="G477" s="8">
        <f t="shared" si="31"/>
        <v>0.39184999999999981</v>
      </c>
      <c r="H477" s="9">
        <f>Summary!$E$12*(1+G477)</f>
        <v>6680879.9999999991</v>
      </c>
      <c r="I477" s="9">
        <f>Summary!$E$12*(1+D477)</f>
        <v>5360627.4323243937</v>
      </c>
    </row>
    <row r="478" spans="1:9" ht="15" customHeight="1" x14ac:dyDescent="0.25">
      <c r="A478" s="2" t="s">
        <v>485</v>
      </c>
      <c r="B478" s="3">
        <v>25499.1</v>
      </c>
      <c r="C478" s="4">
        <f t="shared" si="28"/>
        <v>5.7392266736189246E-3</v>
      </c>
      <c r="D478" s="4">
        <f t="shared" si="29"/>
        <v>0.12320693505652569</v>
      </c>
      <c r="E478" s="3">
        <v>1394.55</v>
      </c>
      <c r="F478" s="4">
        <f t="shared" si="30"/>
        <v>1.9398642095054264E-3</v>
      </c>
      <c r="G478" s="4">
        <f t="shared" si="31"/>
        <v>0.39454999999999996</v>
      </c>
      <c r="H478" s="5">
        <f>Summary!$E$12*(1+G478)</f>
        <v>6693840</v>
      </c>
      <c r="I478" s="5">
        <f>Summary!$E$12*(1+D478)</f>
        <v>5391393.2882713238</v>
      </c>
    </row>
    <row r="479" spans="1:9" ht="15" customHeight="1" x14ac:dyDescent="0.25">
      <c r="A479" s="6" t="s">
        <v>486</v>
      </c>
      <c r="B479" s="7">
        <v>25338.6</v>
      </c>
      <c r="C479" s="8">
        <f t="shared" si="28"/>
        <v>-6.2943398002281992E-3</v>
      </c>
      <c r="D479" s="8">
        <f t="shared" si="29"/>
        <v>0.11613708894130714</v>
      </c>
      <c r="E479" s="7">
        <v>1393.77</v>
      </c>
      <c r="F479" s="8">
        <f t="shared" si="30"/>
        <v>-5.5932021082072403E-4</v>
      </c>
      <c r="G479" s="8">
        <f t="shared" si="31"/>
        <v>0.39376999999999995</v>
      </c>
      <c r="H479" s="9">
        <f>Summary!$E$12*(1+G479)</f>
        <v>6690096</v>
      </c>
      <c r="I479" s="9">
        <f>Summary!$E$12*(1+D479)</f>
        <v>5357458.0269182744</v>
      </c>
    </row>
    <row r="480" spans="1:9" ht="15" customHeight="1" x14ac:dyDescent="0.25">
      <c r="A480" s="2" t="s">
        <v>487</v>
      </c>
      <c r="B480" s="3">
        <v>25100</v>
      </c>
      <c r="C480" s="4">
        <f t="shared" si="28"/>
        <v>-9.4164634194469077E-3</v>
      </c>
      <c r="D480" s="4">
        <f t="shared" si="29"/>
        <v>0.1056270248722031</v>
      </c>
      <c r="E480" s="3">
        <v>1391.29</v>
      </c>
      <c r="F480" s="4">
        <f t="shared" si="30"/>
        <v>-1.7793466640837474E-3</v>
      </c>
      <c r="G480" s="4">
        <f t="shared" si="31"/>
        <v>0.39128999999999992</v>
      </c>
      <c r="H480" s="5">
        <f>Summary!$E$12*(1+G480)</f>
        <v>6678192</v>
      </c>
      <c r="I480" s="5">
        <f>Summary!$E$12*(1+D480)</f>
        <v>5307009.7193865748</v>
      </c>
    </row>
    <row r="481" spans="1:9" ht="15" customHeight="1" x14ac:dyDescent="0.25">
      <c r="A481" s="6" t="s">
        <v>488</v>
      </c>
      <c r="B481" s="7">
        <v>24843.26</v>
      </c>
      <c r="C481" s="8">
        <f t="shared" si="28"/>
        <v>-1.0228685258964254E-2</v>
      </c>
      <c r="D481" s="8">
        <f t="shared" si="29"/>
        <v>9.4317914020980442E-2</v>
      </c>
      <c r="E481" s="7">
        <v>1387.11</v>
      </c>
      <c r="F481" s="8">
        <f t="shared" si="30"/>
        <v>-3.0044059829367198E-3</v>
      </c>
      <c r="G481" s="8">
        <f t="shared" si="31"/>
        <v>0.38710999999999984</v>
      </c>
      <c r="H481" s="9">
        <f>Summary!$E$12*(1+G481)</f>
        <v>6658127.9999999991</v>
      </c>
      <c r="I481" s="9">
        <f>Summary!$E$12*(1+D481)</f>
        <v>5252725.9873007061</v>
      </c>
    </row>
    <row r="482" spans="1:9" ht="15" customHeight="1" x14ac:dyDescent="0.25">
      <c r="A482" s="2" t="s">
        <v>489</v>
      </c>
      <c r="B482" s="3">
        <v>24552.63</v>
      </c>
      <c r="C482" s="4">
        <f t="shared" si="28"/>
        <v>-1.1698545198979393E-2</v>
      </c>
      <c r="D482" s="4">
        <f t="shared" si="29"/>
        <v>8.1515986441753174E-2</v>
      </c>
      <c r="E482" s="3">
        <v>1384.14</v>
      </c>
      <c r="F482" s="4">
        <f t="shared" si="30"/>
        <v>-2.1411423751539482E-3</v>
      </c>
      <c r="G482" s="4">
        <f t="shared" si="31"/>
        <v>0.38414000000000015</v>
      </c>
      <c r="H482" s="5">
        <f>Summary!$E$12*(1+G482)</f>
        <v>6643872.0000000009</v>
      </c>
      <c r="I482" s="5">
        <f>Summary!$E$12*(1+D482)</f>
        <v>5191276.7349204151</v>
      </c>
    </row>
    <row r="483" spans="1:9" ht="15" customHeight="1" x14ac:dyDescent="0.25">
      <c r="A483" s="6" t="s">
        <v>490</v>
      </c>
      <c r="B483" s="7">
        <v>24422.49</v>
      </c>
      <c r="C483" s="8">
        <f t="shared" si="28"/>
        <v>-5.3004505016366332E-3</v>
      </c>
      <c r="D483" s="8">
        <f t="shared" si="29"/>
        <v>7.5783464488889951E-2</v>
      </c>
      <c r="E483" s="7">
        <v>1381.88</v>
      </c>
      <c r="F483" s="8">
        <f t="shared" si="30"/>
        <v>-1.6327828109873321E-3</v>
      </c>
      <c r="G483" s="8">
        <f t="shared" si="31"/>
        <v>0.38188000000000022</v>
      </c>
      <c r="H483" s="9">
        <f>Summary!$E$12*(1+G483)</f>
        <v>6633024.0000000009</v>
      </c>
      <c r="I483" s="9">
        <f>Summary!$E$12*(1+D483)</f>
        <v>5163760.6295466721</v>
      </c>
    </row>
    <row r="484" spans="1:9" ht="15" customHeight="1" x14ac:dyDescent="0.25">
      <c r="A484" s="2" t="s">
        <v>491</v>
      </c>
      <c r="B484" s="3">
        <v>24243.599999999999</v>
      </c>
      <c r="C484" s="4">
        <f t="shared" si="28"/>
        <v>-7.3248059473052241E-3</v>
      </c>
      <c r="D484" s="4">
        <f t="shared" si="29"/>
        <v>6.7903559370189104E-2</v>
      </c>
      <c r="E484" s="3">
        <v>1381.31</v>
      </c>
      <c r="F484" s="4">
        <f t="shared" si="30"/>
        <v>-4.1248154687822947E-4</v>
      </c>
      <c r="G484" s="4">
        <f t="shared" si="31"/>
        <v>0.38131000000000004</v>
      </c>
      <c r="H484" s="5">
        <f>Summary!$E$12*(1+G484)</f>
        <v>6630288</v>
      </c>
      <c r="I484" s="5">
        <f>Summary!$E$12*(1+D484)</f>
        <v>5125937.0849769078</v>
      </c>
    </row>
    <row r="485" spans="1:9" ht="15" customHeight="1" x14ac:dyDescent="0.25">
      <c r="A485" s="6" t="s">
        <v>492</v>
      </c>
      <c r="B485" s="7">
        <v>23880.71</v>
      </c>
      <c r="C485" s="8">
        <f t="shared" si="28"/>
        <v>-1.4968486528403324E-2</v>
      </c>
      <c r="D485" s="8">
        <f t="shared" si="29"/>
        <v>5.1918659328122452E-2</v>
      </c>
      <c r="E485" s="7">
        <v>1378.23</v>
      </c>
      <c r="F485" s="8">
        <f t="shared" si="30"/>
        <v>-2.2297673947194729E-3</v>
      </c>
      <c r="G485" s="8">
        <f t="shared" si="31"/>
        <v>0.37823000000000007</v>
      </c>
      <c r="H485" s="9">
        <f>Summary!$E$12*(1+G485)</f>
        <v>6615504</v>
      </c>
      <c r="I485" s="9">
        <f>Summary!$E$12*(1+D485)</f>
        <v>5049209.5647749882</v>
      </c>
    </row>
    <row r="486" spans="1:9" ht="15" customHeight="1" x14ac:dyDescent="0.25">
      <c r="A486" s="2" t="s">
        <v>493</v>
      </c>
      <c r="B486" s="3">
        <v>23640.26</v>
      </c>
      <c r="C486" s="4">
        <f t="shared" si="28"/>
        <v>-1.0068796112008394E-2</v>
      </c>
      <c r="D486" s="4">
        <f t="shared" si="29"/>
        <v>4.1327104820930272E-2</v>
      </c>
      <c r="E486" s="3">
        <v>1376.73</v>
      </c>
      <c r="F486" s="4">
        <f t="shared" si="30"/>
        <v>-1.0883524520580723E-3</v>
      </c>
      <c r="G486" s="4">
        <f t="shared" si="31"/>
        <v>0.37673000000000001</v>
      </c>
      <c r="H486" s="5">
        <f>Summary!$E$12*(1+G486)</f>
        <v>6608304</v>
      </c>
      <c r="I486" s="5">
        <f>Summary!$E$12*(1+D486)</f>
        <v>4998370.103140465</v>
      </c>
    </row>
    <row r="487" spans="1:9" ht="15" customHeight="1" x14ac:dyDescent="0.25">
      <c r="A487" s="6" t="s">
        <v>494</v>
      </c>
      <c r="B487" s="7">
        <v>23386.74</v>
      </c>
      <c r="C487" s="8">
        <f t="shared" si="28"/>
        <v>-1.0724078330779596E-2</v>
      </c>
      <c r="D487" s="8">
        <f t="shared" si="29"/>
        <v>3.0159831380866642E-2</v>
      </c>
      <c r="E487" s="7">
        <v>1373.71</v>
      </c>
      <c r="F487" s="8">
        <f t="shared" si="30"/>
        <v>-2.1936036840920492E-3</v>
      </c>
      <c r="G487" s="8">
        <f t="shared" si="31"/>
        <v>0.37370999999999999</v>
      </c>
      <c r="H487" s="9">
        <f>Summary!$E$12*(1+G487)</f>
        <v>6593808</v>
      </c>
      <c r="I487" s="9">
        <f>Summary!$E$12*(1+D487)</f>
        <v>4944767.1906281598</v>
      </c>
    </row>
    <row r="488" spans="1:9" ht="15" customHeight="1" x14ac:dyDescent="0.25">
      <c r="A488" s="2" t="s">
        <v>495</v>
      </c>
      <c r="B488" s="3">
        <v>23352.66</v>
      </c>
      <c r="C488" s="4">
        <f t="shared" si="28"/>
        <v>-1.4572360234903492E-3</v>
      </c>
      <c r="D488" s="4">
        <f t="shared" si="29"/>
        <v>2.865864536462559E-2</v>
      </c>
      <c r="E488" s="3">
        <v>1371.42</v>
      </c>
      <c r="F488" s="4">
        <f t="shared" si="30"/>
        <v>-1.6670185119129766E-3</v>
      </c>
      <c r="G488" s="4">
        <f t="shared" si="31"/>
        <v>0.37142000000000008</v>
      </c>
      <c r="H488" s="5">
        <f>Summary!$E$12*(1+G488)</f>
        <v>6582816</v>
      </c>
      <c r="I488" s="5">
        <f>Summary!$E$12*(1+D488)</f>
        <v>4937561.4977502031</v>
      </c>
    </row>
    <row r="489" spans="1:9" ht="15" customHeight="1" x14ac:dyDescent="0.25">
      <c r="A489" s="6" t="s">
        <v>496</v>
      </c>
      <c r="B489" s="7">
        <v>23528.84</v>
      </c>
      <c r="C489" s="8">
        <f t="shared" si="28"/>
        <v>7.5443225739595388E-3</v>
      </c>
      <c r="D489" s="8">
        <f t="shared" si="29"/>
        <v>3.6419178003748609E-2</v>
      </c>
      <c r="E489" s="7">
        <v>1375.03</v>
      </c>
      <c r="F489" s="8">
        <f t="shared" si="30"/>
        <v>2.6323081185923858E-3</v>
      </c>
      <c r="G489" s="8">
        <f t="shared" si="31"/>
        <v>0.37502999999999997</v>
      </c>
      <c r="H489" s="9">
        <f>Summary!$E$12*(1+G489)</f>
        <v>6600144</v>
      </c>
      <c r="I489" s="9">
        <f>Summary!$E$12*(1+D489)</f>
        <v>4974812.0544179929</v>
      </c>
    </row>
    <row r="490" spans="1:9" ht="15" customHeight="1" x14ac:dyDescent="0.25">
      <c r="A490" s="2" t="s">
        <v>497</v>
      </c>
      <c r="B490" s="3">
        <v>23609.040000000001</v>
      </c>
      <c r="C490" s="4">
        <f t="shared" si="28"/>
        <v>3.4085828285628228E-3</v>
      </c>
      <c r="D490" s="4">
        <f t="shared" si="29"/>
        <v>3.9951898617085257E-2</v>
      </c>
      <c r="E490" s="3">
        <v>1377.84</v>
      </c>
      <c r="F490" s="4">
        <f t="shared" si="30"/>
        <v>2.0435917761794098E-3</v>
      </c>
      <c r="G490" s="4">
        <f t="shared" si="31"/>
        <v>0.37783999999999995</v>
      </c>
      <c r="H490" s="5">
        <f>Summary!$E$12*(1+G490)</f>
        <v>6613632</v>
      </c>
      <c r="I490" s="5">
        <f>Summary!$E$12*(1+D490)</f>
        <v>4991769.1133620096</v>
      </c>
    </row>
    <row r="491" spans="1:9" ht="15" customHeight="1" x14ac:dyDescent="0.25">
      <c r="A491" s="6" t="s">
        <v>498</v>
      </c>
      <c r="B491" s="7">
        <v>23695.61</v>
      </c>
      <c r="C491" s="8">
        <f t="shared" si="28"/>
        <v>3.6668157620978192E-3</v>
      </c>
      <c r="D491" s="8">
        <f t="shared" si="29"/>
        <v>4.3765210630758E-2</v>
      </c>
      <c r="E491" s="7">
        <v>1377.37</v>
      </c>
      <c r="F491" s="8">
        <f t="shared" si="30"/>
        <v>-3.4111362712652138E-4</v>
      </c>
      <c r="G491" s="8">
        <f t="shared" si="31"/>
        <v>0.37736999999999998</v>
      </c>
      <c r="H491" s="9">
        <f>Summary!$E$12*(1+G491)</f>
        <v>6611376</v>
      </c>
      <c r="I491" s="9">
        <f>Summary!$E$12*(1+D491)</f>
        <v>5010073.0110276388</v>
      </c>
    </row>
    <row r="492" spans="1:9" ht="15" customHeight="1" x14ac:dyDescent="0.25">
      <c r="A492" s="2" t="s">
        <v>499</v>
      </c>
      <c r="B492" s="3">
        <v>23761.13</v>
      </c>
      <c r="C492" s="4">
        <f t="shared" si="28"/>
        <v>2.7650691414993211E-3</v>
      </c>
      <c r="D492" s="4">
        <f t="shared" si="29"/>
        <v>4.6651293605643573E-2</v>
      </c>
      <c r="E492" s="3">
        <v>1378.66</v>
      </c>
      <c r="F492" s="4">
        <f t="shared" si="30"/>
        <v>9.3656751635373681E-4</v>
      </c>
      <c r="G492" s="4">
        <f t="shared" si="31"/>
        <v>0.37866</v>
      </c>
      <c r="H492" s="5">
        <f>Summary!$E$12*(1+G492)</f>
        <v>6617568</v>
      </c>
      <c r="I492" s="5">
        <f>Summary!$E$12*(1+D492)</f>
        <v>5023926.2093070894</v>
      </c>
    </row>
    <row r="493" spans="1:9" ht="15" customHeight="1" x14ac:dyDescent="0.25">
      <c r="A493" s="6" t="s">
        <v>500</v>
      </c>
      <c r="B493" s="7">
        <v>23529.91</v>
      </c>
      <c r="C493" s="8">
        <f t="shared" si="28"/>
        <v>-9.7310186847174851E-3</v>
      </c>
      <c r="D493" s="8">
        <f t="shared" si="29"/>
        <v>3.6466310311183303E-2</v>
      </c>
      <c r="E493" s="7">
        <v>1377.82</v>
      </c>
      <c r="F493" s="8">
        <f t="shared" si="30"/>
        <v>-6.0928727895215307E-4</v>
      </c>
      <c r="G493" s="8">
        <f t="shared" si="31"/>
        <v>0.37782000000000004</v>
      </c>
      <c r="H493" s="9">
        <f>Summary!$E$12*(1+G493)</f>
        <v>6613536</v>
      </c>
      <c r="I493" s="9">
        <f>Summary!$E$12*(1+D493)</f>
        <v>4975038.28949368</v>
      </c>
    </row>
    <row r="494" spans="1:9" ht="15" customHeight="1" x14ac:dyDescent="0.25">
      <c r="A494" s="2" t="s">
        <v>501</v>
      </c>
      <c r="B494" s="3">
        <v>23316.77</v>
      </c>
      <c r="C494" s="4">
        <f t="shared" si="28"/>
        <v>-9.0582581913827287E-3</v>
      </c>
      <c r="D494" s="4">
        <f t="shared" si="29"/>
        <v>2.7077730865714855E-2</v>
      </c>
      <c r="E494" s="3">
        <v>1374.35</v>
      </c>
      <c r="F494" s="4">
        <f t="shared" si="30"/>
        <v>-2.5184712081404159E-3</v>
      </c>
      <c r="G494" s="4">
        <f t="shared" si="31"/>
        <v>0.37434999999999996</v>
      </c>
      <c r="H494" s="5">
        <f>Summary!$E$12*(1+G494)</f>
        <v>6596880</v>
      </c>
      <c r="I494" s="5">
        <f>Summary!$E$12*(1+D494)</f>
        <v>4929973.1081554312</v>
      </c>
    </row>
    <row r="495" spans="1:9" ht="15" customHeight="1" x14ac:dyDescent="0.25">
      <c r="A495" s="6" t="s">
        <v>502</v>
      </c>
      <c r="B495" s="7">
        <v>22990.080000000002</v>
      </c>
      <c r="C495" s="8">
        <f t="shared" si="28"/>
        <v>-1.4010945769932892E-2</v>
      </c>
      <c r="D495" s="8">
        <f t="shared" si="29"/>
        <v>1.2687400477049637E-2</v>
      </c>
      <c r="E495" s="7">
        <v>1373.04</v>
      </c>
      <c r="F495" s="8">
        <f t="shared" si="30"/>
        <v>-9.5317786590021214E-4</v>
      </c>
      <c r="G495" s="8">
        <f t="shared" si="31"/>
        <v>0.37304000000000004</v>
      </c>
      <c r="H495" s="9">
        <f>Summary!$E$12*(1+G495)</f>
        <v>6590592</v>
      </c>
      <c r="I495" s="9">
        <f>Summary!$E$12*(1+D495)</f>
        <v>4860899.5222898386</v>
      </c>
    </row>
    <row r="496" spans="1:9" ht="15" customHeight="1" x14ac:dyDescent="0.25">
      <c r="A496" s="2" t="s">
        <v>503</v>
      </c>
      <c r="B496" s="3">
        <v>22978.71</v>
      </c>
      <c r="C496" s="4">
        <f t="shared" si="28"/>
        <v>-4.9456113245371913E-4</v>
      </c>
      <c r="D496" s="4">
        <f t="shared" si="29"/>
        <v>1.2186564649447895E-2</v>
      </c>
      <c r="E496" s="3">
        <v>1372.83</v>
      </c>
      <c r="F496" s="4">
        <f t="shared" si="30"/>
        <v>-1.5294528928511131E-4</v>
      </c>
      <c r="G496" s="4">
        <f t="shared" si="31"/>
        <v>0.37282999999999999</v>
      </c>
      <c r="H496" s="5">
        <f>Summary!$E$12*(1+G496)</f>
        <v>6589584</v>
      </c>
      <c r="I496" s="5">
        <f>Summary!$E$12*(1+D496)</f>
        <v>4858495.5103173498</v>
      </c>
    </row>
    <row r="497" spans="1:9" ht="15" customHeight="1" x14ac:dyDescent="0.25">
      <c r="A497" s="6" t="s">
        <v>504</v>
      </c>
      <c r="B497" s="7">
        <v>22857.360000000001</v>
      </c>
      <c r="C497" s="8">
        <f t="shared" si="28"/>
        <v>-5.2809753027910356E-3</v>
      </c>
      <c r="D497" s="8">
        <f t="shared" si="29"/>
        <v>6.8412323997173452E-3</v>
      </c>
      <c r="E497" s="7">
        <v>1370.4</v>
      </c>
      <c r="F497" s="8">
        <f t="shared" si="30"/>
        <v>-1.7700662135878842E-3</v>
      </c>
      <c r="G497" s="8">
        <f t="shared" si="31"/>
        <v>0.37040000000000006</v>
      </c>
      <c r="H497" s="9">
        <f>Summary!$E$12*(1+G497)</f>
        <v>6577920</v>
      </c>
      <c r="I497" s="9">
        <f>Summary!$E$12*(1+D497)</f>
        <v>4832837.9155186433</v>
      </c>
    </row>
    <row r="498" spans="1:9" ht="15" customHeight="1" x14ac:dyDescent="0.25">
      <c r="A498" s="2" t="s">
        <v>505</v>
      </c>
      <c r="B498" s="3">
        <v>22575.29</v>
      </c>
      <c r="C498" s="4">
        <f t="shared" si="28"/>
        <v>-1.2340445265769939E-2</v>
      </c>
      <c r="D498" s="4">
        <f t="shared" si="29"/>
        <v>-5.5836367200318149E-3</v>
      </c>
      <c r="E498" s="3">
        <v>1369.07</v>
      </c>
      <c r="F498" s="4">
        <f t="shared" si="30"/>
        <v>-9.705195563339819E-4</v>
      </c>
      <c r="G498" s="4">
        <f t="shared" si="31"/>
        <v>0.36907000000000001</v>
      </c>
      <c r="H498" s="5">
        <f>Summary!$E$12*(1+G498)</f>
        <v>6571536</v>
      </c>
      <c r="I498" s="5">
        <f>Summary!$E$12*(1+D498)</f>
        <v>4773198.5437438469</v>
      </c>
    </row>
    <row r="499" spans="1:9" ht="15" customHeight="1" x14ac:dyDescent="0.25">
      <c r="A499" s="6" t="s">
        <v>506</v>
      </c>
      <c r="B499" s="7">
        <v>22494.39</v>
      </c>
      <c r="C499" s="8">
        <f t="shared" si="28"/>
        <v>-3.5835641535502116E-3</v>
      </c>
      <c r="D499" s="8">
        <f t="shared" si="29"/>
        <v>-9.1471915531857739E-3</v>
      </c>
      <c r="E499" s="7">
        <v>1368.81</v>
      </c>
      <c r="F499" s="8">
        <f t="shared" si="30"/>
        <v>-1.8990993886358609E-4</v>
      </c>
      <c r="G499" s="8">
        <f t="shared" si="31"/>
        <v>0.36880999999999986</v>
      </c>
      <c r="H499" s="9">
        <f>Summary!$E$12*(1+G499)</f>
        <v>6570287.9999999991</v>
      </c>
      <c r="I499" s="9">
        <f>Summary!$E$12*(1+D499)</f>
        <v>4756093.4805447087</v>
      </c>
    </row>
    <row r="500" spans="1:9" ht="15" customHeight="1" x14ac:dyDescent="0.25">
      <c r="A500" s="2" t="s">
        <v>507</v>
      </c>
      <c r="B500" s="3">
        <v>22337.91</v>
      </c>
      <c r="C500" s="4">
        <f t="shared" si="28"/>
        <v>-6.9564011293482553E-3</v>
      </c>
      <c r="D500" s="4">
        <f t="shared" si="29"/>
        <v>-1.6039961148882953E-2</v>
      </c>
      <c r="E500" s="3">
        <v>1366.45</v>
      </c>
      <c r="F500" s="4">
        <f t="shared" si="30"/>
        <v>-1.7241253351450991E-3</v>
      </c>
      <c r="G500" s="4">
        <f t="shared" si="31"/>
        <v>0.36644999999999994</v>
      </c>
      <c r="H500" s="5">
        <f>Summary!$E$12*(1+G500)</f>
        <v>6558960</v>
      </c>
      <c r="I500" s="5">
        <f>Summary!$E$12*(1+D500)</f>
        <v>4723008.1864853622</v>
      </c>
    </row>
    <row r="501" spans="1:9" ht="15" customHeight="1" x14ac:dyDescent="0.25">
      <c r="A501" s="6" t="s">
        <v>508</v>
      </c>
      <c r="B501" s="7">
        <v>22318.400000000001</v>
      </c>
      <c r="C501" s="8">
        <f t="shared" si="28"/>
        <v>-8.7340310709449476E-4</v>
      </c>
      <c r="D501" s="8">
        <f t="shared" si="29"/>
        <v>-1.6899354904072461E-2</v>
      </c>
      <c r="E501" s="7">
        <v>1367.65</v>
      </c>
      <c r="F501" s="8">
        <f t="shared" si="30"/>
        <v>8.7818800541561437E-4</v>
      </c>
      <c r="G501" s="8">
        <f t="shared" si="31"/>
        <v>0.36765000000000003</v>
      </c>
      <c r="H501" s="9">
        <f>Summary!$E$12*(1+G501)</f>
        <v>6564720</v>
      </c>
      <c r="I501" s="9">
        <f>Summary!$E$12*(1+D501)</f>
        <v>4718883.0964604523</v>
      </c>
    </row>
    <row r="502" spans="1:9" ht="15" customHeight="1" x14ac:dyDescent="0.25">
      <c r="A502" s="2" t="s">
        <v>509</v>
      </c>
      <c r="B502" s="3">
        <v>22850</v>
      </c>
      <c r="C502" s="4">
        <f t="shared" si="28"/>
        <v>2.3818911749946103E-2</v>
      </c>
      <c r="D502" s="4">
        <f t="shared" si="29"/>
        <v>6.5170326027825798E-3</v>
      </c>
      <c r="E502" s="3">
        <v>1373.27</v>
      </c>
      <c r="F502" s="4">
        <f t="shared" si="30"/>
        <v>4.1092384747558608E-3</v>
      </c>
      <c r="G502" s="4">
        <f t="shared" si="31"/>
        <v>0.37326999999999999</v>
      </c>
      <c r="H502" s="5">
        <f>Summary!$E$12*(1+G502)</f>
        <v>6591696</v>
      </c>
      <c r="I502" s="5">
        <f>Summary!$E$12*(1+D502)</f>
        <v>4831281.7564933561</v>
      </c>
    </row>
    <row r="503" spans="1:9" ht="15" customHeight="1" x14ac:dyDescent="0.25">
      <c r="A503" s="6" t="s">
        <v>510</v>
      </c>
      <c r="B503" s="7">
        <v>22918.46</v>
      </c>
      <c r="C503" s="8">
        <f t="shared" si="28"/>
        <v>2.9960612691466437E-3</v>
      </c>
      <c r="D503" s="8">
        <f t="shared" si="29"/>
        <v>9.5326193009002136E-3</v>
      </c>
      <c r="E503" s="7">
        <v>1377.85</v>
      </c>
      <c r="F503" s="8">
        <f t="shared" si="30"/>
        <v>3.3351052597085928E-3</v>
      </c>
      <c r="G503" s="8">
        <f t="shared" si="31"/>
        <v>0.37785000000000002</v>
      </c>
      <c r="H503" s="9">
        <f>Summary!$E$12*(1+G503)</f>
        <v>6613680</v>
      </c>
      <c r="I503" s="9">
        <f>Summary!$E$12*(1+D503)</f>
        <v>4845756.5726443212</v>
      </c>
    </row>
    <row r="504" spans="1:9" ht="15" customHeight="1" x14ac:dyDescent="0.25">
      <c r="A504" s="2" t="s">
        <v>511</v>
      </c>
      <c r="B504" s="3">
        <v>22932.79</v>
      </c>
      <c r="C504" s="4">
        <f t="shared" si="28"/>
        <v>6.2526016145936225E-4</v>
      </c>
      <c r="D504" s="4">
        <f t="shared" si="29"/>
        <v>1.01638398294428E-2</v>
      </c>
      <c r="E504" s="3">
        <v>1378.53</v>
      </c>
      <c r="F504" s="4">
        <f t="shared" si="30"/>
        <v>4.9352251696488381E-4</v>
      </c>
      <c r="G504" s="4">
        <f t="shared" si="31"/>
        <v>0.37853000000000003</v>
      </c>
      <c r="H504" s="5">
        <f>Summary!$E$12*(1+G504)</f>
        <v>6616944</v>
      </c>
      <c r="I504" s="5">
        <f>Summary!$E$12*(1+D504)</f>
        <v>4848786.4311813256</v>
      </c>
    </row>
    <row r="505" spans="1:9" ht="15" customHeight="1" x14ac:dyDescent="0.25">
      <c r="A505" s="6" t="s">
        <v>512</v>
      </c>
      <c r="B505" s="7">
        <v>23032.720000000001</v>
      </c>
      <c r="C505" s="8">
        <f t="shared" si="28"/>
        <v>4.3575160283593206E-3</v>
      </c>
      <c r="D505" s="8">
        <f t="shared" si="29"/>
        <v>1.4565644952768686E-2</v>
      </c>
      <c r="E505" s="7">
        <v>1381.6</v>
      </c>
      <c r="F505" s="8">
        <f t="shared" si="30"/>
        <v>2.2270099308683289E-3</v>
      </c>
      <c r="G505" s="8">
        <f t="shared" si="31"/>
        <v>0.38159999999999994</v>
      </c>
      <c r="H505" s="9">
        <f>Summary!$E$12*(1+G505)</f>
        <v>6631680</v>
      </c>
      <c r="I505" s="9">
        <f>Summary!$E$12*(1+D505)</f>
        <v>4869915.0957732899</v>
      </c>
    </row>
    <row r="506" spans="1:9" ht="15" customHeight="1" x14ac:dyDescent="0.25">
      <c r="A506" s="2" t="s">
        <v>513</v>
      </c>
      <c r="B506" s="3">
        <v>23119.58</v>
      </c>
      <c r="C506" s="4">
        <f t="shared" si="28"/>
        <v>3.7711568585907518E-3</v>
      </c>
      <c r="D506" s="4">
        <f t="shared" si="29"/>
        <v>1.83917311432229E-2</v>
      </c>
      <c r="E506" s="3">
        <v>1383.67</v>
      </c>
      <c r="F506" s="4">
        <f t="shared" si="30"/>
        <v>1.4982628836133216E-3</v>
      </c>
      <c r="G506" s="4">
        <f t="shared" si="31"/>
        <v>0.38367000000000018</v>
      </c>
      <c r="H506" s="5">
        <f>Summary!$E$12*(1+G506)</f>
        <v>6641616.0000000009</v>
      </c>
      <c r="I506" s="5">
        <f>Summary!$E$12*(1+D506)</f>
        <v>4888280.3094874695</v>
      </c>
    </row>
    <row r="507" spans="1:9" ht="15" customHeight="1" x14ac:dyDescent="0.25">
      <c r="A507" s="6" t="s">
        <v>514</v>
      </c>
      <c r="B507" s="7">
        <v>23345.55</v>
      </c>
      <c r="C507" s="8">
        <f t="shared" si="28"/>
        <v>9.7739664820899463E-3</v>
      </c>
      <c r="D507" s="8">
        <f t="shared" si="29"/>
        <v>2.8345457789054285E-2</v>
      </c>
      <c r="E507" s="7">
        <v>1388.45</v>
      </c>
      <c r="F507" s="8">
        <f t="shared" si="30"/>
        <v>3.4545809333150768E-3</v>
      </c>
      <c r="G507" s="8">
        <f t="shared" si="31"/>
        <v>0.38844999999999996</v>
      </c>
      <c r="H507" s="9">
        <f>Summary!$E$12*(1+G507)</f>
        <v>6664560</v>
      </c>
      <c r="I507" s="9">
        <f>Summary!$E$12*(1+D507)</f>
        <v>4936058.1973874606</v>
      </c>
    </row>
    <row r="508" spans="1:9" ht="15" customHeight="1" x14ac:dyDescent="0.25">
      <c r="A508" s="2" t="s">
        <v>515</v>
      </c>
      <c r="B508" s="3">
        <v>23401.56</v>
      </c>
      <c r="C508" s="4">
        <f t="shared" si="28"/>
        <v>2.399172433290353E-3</v>
      </c>
      <c r="D508" s="4">
        <f t="shared" si="29"/>
        <v>3.0812635863281201E-2</v>
      </c>
      <c r="E508" s="3">
        <v>1391.76</v>
      </c>
      <c r="F508" s="4">
        <f t="shared" si="30"/>
        <v>2.3839533292520088E-3</v>
      </c>
      <c r="G508" s="4">
        <f t="shared" si="31"/>
        <v>0.39175999999999989</v>
      </c>
      <c r="H508" s="5">
        <f>Summary!$E$12*(1+G508)</f>
        <v>6680447.9999999991</v>
      </c>
      <c r="I508" s="5">
        <f>Summary!$E$12*(1+D508)</f>
        <v>4947900.6521437494</v>
      </c>
    </row>
    <row r="509" spans="1:9" ht="15" customHeight="1" x14ac:dyDescent="0.25">
      <c r="A509" s="6" t="s">
        <v>516</v>
      </c>
      <c r="B509" s="7">
        <v>23438.62</v>
      </c>
      <c r="C509" s="8">
        <f t="shared" si="28"/>
        <v>1.583655106753401E-3</v>
      </c>
      <c r="D509" s="8">
        <f t="shared" si="29"/>
        <v>3.2445087558172103E-2</v>
      </c>
      <c r="E509" s="7">
        <v>1392.7</v>
      </c>
      <c r="F509" s="8">
        <f t="shared" si="30"/>
        <v>6.7540380525388244E-4</v>
      </c>
      <c r="G509" s="8">
        <f t="shared" si="31"/>
        <v>0.39270000000000005</v>
      </c>
      <c r="H509" s="9">
        <f>Summary!$E$12*(1+G509)</f>
        <v>6684960</v>
      </c>
      <c r="I509" s="9">
        <f>Summary!$E$12*(1+D509)</f>
        <v>4955736.4202792263</v>
      </c>
    </row>
    <row r="510" spans="1:9" ht="15" customHeight="1" x14ac:dyDescent="0.25">
      <c r="A510" s="2" t="s">
        <v>517</v>
      </c>
      <c r="B510" s="3">
        <v>23557.84</v>
      </c>
      <c r="C510" s="4">
        <f t="shared" si="28"/>
        <v>5.0864769342222615E-3</v>
      </c>
      <c r="D510" s="4">
        <f t="shared" si="29"/>
        <v>3.7696595681887768E-2</v>
      </c>
      <c r="E510" s="3">
        <v>1396.64</v>
      </c>
      <c r="F510" s="4">
        <f t="shared" si="30"/>
        <v>2.8290371221368904E-3</v>
      </c>
      <c r="G510" s="4">
        <f t="shared" si="31"/>
        <v>0.3966400000000001</v>
      </c>
      <c r="H510" s="5">
        <f>Summary!$E$12*(1+G510)</f>
        <v>6703872.0000000009</v>
      </c>
      <c r="I510" s="5">
        <f>Summary!$E$12*(1+D510)</f>
        <v>4980943.659273061</v>
      </c>
    </row>
    <row r="511" spans="1:9" ht="15" customHeight="1" x14ac:dyDescent="0.25">
      <c r="A511" s="6" t="s">
        <v>518</v>
      </c>
      <c r="B511" s="7">
        <v>23479.01</v>
      </c>
      <c r="C511" s="8">
        <f t="shared" si="28"/>
        <v>-3.3462320823981484E-3</v>
      </c>
      <c r="D511" s="8">
        <f t="shared" si="29"/>
        <v>3.4224222041621788E-2</v>
      </c>
      <c r="E511" s="7">
        <v>1396.87</v>
      </c>
      <c r="F511" s="8">
        <f t="shared" si="30"/>
        <v>1.6468094856203486E-4</v>
      </c>
      <c r="G511" s="8">
        <f t="shared" si="31"/>
        <v>0.39686999999999983</v>
      </c>
      <c r="H511" s="9">
        <f>Summary!$E$12*(1+G511)</f>
        <v>6704975.9999999991</v>
      </c>
      <c r="I511" s="9">
        <f>Summary!$E$12*(1+D511)</f>
        <v>4964276.265799785</v>
      </c>
    </row>
    <row r="512" spans="1:9" ht="15" customHeight="1" x14ac:dyDescent="0.25">
      <c r="A512" s="2" t="s">
        <v>519</v>
      </c>
      <c r="B512" s="3">
        <v>23502.29</v>
      </c>
      <c r="C512" s="4">
        <f t="shared" si="28"/>
        <v>9.9152391859802513E-4</v>
      </c>
      <c r="D512" s="4">
        <f t="shared" si="29"/>
        <v>3.5249680094969538E-2</v>
      </c>
      <c r="E512" s="3">
        <v>1397.83</v>
      </c>
      <c r="F512" s="4">
        <f t="shared" si="30"/>
        <v>6.8725078210563062E-4</v>
      </c>
      <c r="G512" s="4">
        <f t="shared" si="31"/>
        <v>0.39782999999999991</v>
      </c>
      <c r="H512" s="5">
        <f>Summary!$E$12*(1+G512)</f>
        <v>6709584</v>
      </c>
      <c r="I512" s="5">
        <f>Summary!$E$12*(1+D512)</f>
        <v>4969198.4644558541</v>
      </c>
    </row>
    <row r="513" spans="1:9" ht="15" customHeight="1" x14ac:dyDescent="0.25">
      <c r="A513" s="6" t="s">
        <v>520</v>
      </c>
      <c r="B513" s="7">
        <v>23705.15</v>
      </c>
      <c r="C513" s="8">
        <f t="shared" si="28"/>
        <v>8.6314993134710694E-3</v>
      </c>
      <c r="D513" s="8">
        <f t="shared" si="29"/>
        <v>4.4185436997980387E-2</v>
      </c>
      <c r="E513" s="7">
        <v>1401.5</v>
      </c>
      <c r="F513" s="8">
        <f t="shared" si="30"/>
        <v>2.6254980934734551E-3</v>
      </c>
      <c r="G513" s="8">
        <f t="shared" si="31"/>
        <v>0.40149999999999997</v>
      </c>
      <c r="H513" s="9">
        <f>Summary!$E$12*(1+G513)</f>
        <v>6727200</v>
      </c>
      <c r="I513" s="9">
        <f>Summary!$E$12*(1+D513)</f>
        <v>5012090.0975903058</v>
      </c>
    </row>
    <row r="514" spans="1:9" ht="15" customHeight="1" x14ac:dyDescent="0.25">
      <c r="A514" s="2" t="s">
        <v>521</v>
      </c>
      <c r="B514" s="3">
        <v>23667.88</v>
      </c>
      <c r="C514" s="4">
        <f t="shared" si="28"/>
        <v>-1.5722321942700512E-3</v>
      </c>
      <c r="D514" s="4">
        <f t="shared" si="29"/>
        <v>4.2543735037144259E-2</v>
      </c>
      <c r="E514" s="3">
        <v>1401.34</v>
      </c>
      <c r="F514" s="4">
        <f t="shared" si="30"/>
        <v>-1.1416339636105555E-4</v>
      </c>
      <c r="G514" s="4">
        <f t="shared" si="31"/>
        <v>0.40133999999999981</v>
      </c>
      <c r="H514" s="5">
        <f>Summary!$E$12*(1+G514)</f>
        <v>6726431.9999999991</v>
      </c>
      <c r="I514" s="5">
        <f>Summary!$E$12*(1+D514)</f>
        <v>5004209.9281782927</v>
      </c>
    </row>
    <row r="515" spans="1:9" ht="15" customHeight="1" x14ac:dyDescent="0.25">
      <c r="A515" s="6" t="s">
        <v>522</v>
      </c>
      <c r="B515" s="7">
        <v>23918.11</v>
      </c>
      <c r="C515" s="8">
        <f t="shared" ref="C515:C578" si="32">B515/B514-1</f>
        <v>1.0572556561888824E-2</v>
      </c>
      <c r="D515" s="8">
        <f t="shared" ref="D515:D524" si="33">B515/$B$2-1</f>
        <v>5.3566087644067339E-2</v>
      </c>
      <c r="E515" s="7">
        <v>1404.84</v>
      </c>
      <c r="F515" s="8">
        <f t="shared" ref="F515:F578" si="34">E515/E514-1</f>
        <v>2.4976094309732133E-3</v>
      </c>
      <c r="G515" s="8">
        <f t="shared" ref="G515:G524" si="35">E515/$E$2-1</f>
        <v>0.40483999999999987</v>
      </c>
      <c r="H515" s="9">
        <f>Summary!$E$12*(1+G515)</f>
        <v>6743231.9999999991</v>
      </c>
      <c r="I515" s="9">
        <f>Summary!$E$12*(1+D515)</f>
        <v>5057117.2206915235</v>
      </c>
    </row>
    <row r="516" spans="1:9" ht="15" customHeight="1" x14ac:dyDescent="0.25">
      <c r="A516" s="2" t="s">
        <v>523</v>
      </c>
      <c r="B516" s="3">
        <v>23925.35</v>
      </c>
      <c r="C516" s="4">
        <f t="shared" si="32"/>
        <v>3.0269950259431688E-4</v>
      </c>
      <c r="D516" s="4">
        <f t="shared" si="33"/>
        <v>5.3885001574747626E-2</v>
      </c>
      <c r="E516" s="3">
        <v>1407.68</v>
      </c>
      <c r="F516" s="4">
        <f t="shared" si="34"/>
        <v>2.0215825289713329E-3</v>
      </c>
      <c r="G516" s="4">
        <f t="shared" si="35"/>
        <v>0.40768000000000004</v>
      </c>
      <c r="H516" s="5">
        <f>Summary!$E$12*(1+G516)</f>
        <v>6756864</v>
      </c>
      <c r="I516" s="5">
        <f>Summary!$E$12*(1+D516)</f>
        <v>5058648.0075587882</v>
      </c>
    </row>
    <row r="517" spans="1:9" ht="15" customHeight="1" x14ac:dyDescent="0.25">
      <c r="A517" s="6" t="s">
        <v>524</v>
      </c>
      <c r="B517" s="7">
        <v>23984.19</v>
      </c>
      <c r="C517" s="8">
        <f t="shared" si="32"/>
        <v>2.4593161646537798E-3</v>
      </c>
      <c r="D517" s="8">
        <f t="shared" si="33"/>
        <v>5.6476837994806628E-2</v>
      </c>
      <c r="E517" s="7">
        <v>1409.73</v>
      </c>
      <c r="F517" s="8">
        <f t="shared" si="34"/>
        <v>1.456296885655739E-3</v>
      </c>
      <c r="G517" s="8">
        <f t="shared" si="35"/>
        <v>0.40972999999999993</v>
      </c>
      <c r="H517" s="9">
        <f>Summary!$E$12*(1+G517)</f>
        <v>6766704</v>
      </c>
      <c r="I517" s="9">
        <f>Summary!$E$12*(1+D517)</f>
        <v>5071088.8223750722</v>
      </c>
    </row>
    <row r="518" spans="1:9" ht="15" customHeight="1" x14ac:dyDescent="0.25">
      <c r="A518" s="2" t="s">
        <v>525</v>
      </c>
      <c r="B518" s="3">
        <v>24155.119999999999</v>
      </c>
      <c r="C518" s="4">
        <f t="shared" si="32"/>
        <v>7.1267780984056728E-3</v>
      </c>
      <c r="D518" s="4">
        <f t="shared" si="33"/>
        <v>6.4006113985300983E-2</v>
      </c>
      <c r="E518" s="3">
        <v>1414.74</v>
      </c>
      <c r="F518" s="4">
        <f t="shared" si="34"/>
        <v>3.5538720180459116E-3</v>
      </c>
      <c r="G518" s="4">
        <f t="shared" si="35"/>
        <v>0.41474000000000011</v>
      </c>
      <c r="H518" s="5">
        <f>Summary!$E$12*(1+G518)</f>
        <v>6790752.0000000009</v>
      </c>
      <c r="I518" s="5">
        <f>Summary!$E$12*(1+D518)</f>
        <v>5107229.3471294446</v>
      </c>
    </row>
    <row r="519" spans="1:9" ht="15" customHeight="1" x14ac:dyDescent="0.25">
      <c r="A519" s="6" t="s">
        <v>526</v>
      </c>
      <c r="B519" s="7">
        <v>24266.84</v>
      </c>
      <c r="C519" s="8">
        <f t="shared" si="32"/>
        <v>4.6251063956628258E-3</v>
      </c>
      <c r="D519" s="8">
        <f t="shared" si="33"/>
        <v>6.892725546811862E-2</v>
      </c>
      <c r="E519" s="7">
        <v>1418.16</v>
      </c>
      <c r="F519" s="8">
        <f t="shared" si="34"/>
        <v>2.4174053182917099E-3</v>
      </c>
      <c r="G519" s="8">
        <f t="shared" si="35"/>
        <v>0.41816000000000009</v>
      </c>
      <c r="H519" s="9">
        <f>Summary!$E$12*(1+G519)</f>
        <v>6807168</v>
      </c>
      <c r="I519" s="9">
        <f>Summary!$E$12*(1+D519)</f>
        <v>5130850.8262469694</v>
      </c>
    </row>
    <row r="520" spans="1:9" ht="15" customHeight="1" x14ac:dyDescent="0.25">
      <c r="A520" s="2" t="s">
        <v>527</v>
      </c>
      <c r="B520" s="3">
        <v>24173.86</v>
      </c>
      <c r="C520" s="4">
        <f t="shared" si="32"/>
        <v>-3.8315660382645111E-3</v>
      </c>
      <c r="D520" s="4">
        <f t="shared" si="33"/>
        <v>6.4831590098691549E-2</v>
      </c>
      <c r="E520" s="3">
        <v>1417.33</v>
      </c>
      <c r="F520" s="4">
        <f t="shared" si="34"/>
        <v>-5.8526541433978618E-4</v>
      </c>
      <c r="G520" s="4">
        <f t="shared" si="35"/>
        <v>0.41732999999999998</v>
      </c>
      <c r="H520" s="5">
        <f>Summary!$E$12*(1+G520)</f>
        <v>6803184</v>
      </c>
      <c r="I520" s="5">
        <f>Summary!$E$12*(1+D520)</f>
        <v>5111191.6324737193</v>
      </c>
    </row>
    <row r="521" spans="1:9" ht="15" customHeight="1" x14ac:dyDescent="0.25">
      <c r="A521" s="6" t="s">
        <v>528</v>
      </c>
      <c r="B521" s="7">
        <v>24028.05</v>
      </c>
      <c r="C521" s="8">
        <f t="shared" si="32"/>
        <v>-6.0317218681666951E-3</v>
      </c>
      <c r="D521" s="8">
        <f t="shared" si="33"/>
        <v>5.840882211077858E-2</v>
      </c>
      <c r="E521" s="7">
        <v>1414.76</v>
      </c>
      <c r="F521" s="8">
        <f t="shared" si="34"/>
        <v>-1.8132686106975271E-3</v>
      </c>
      <c r="G521" s="8">
        <f t="shared" si="35"/>
        <v>0.41476000000000002</v>
      </c>
      <c r="H521" s="9">
        <f>Summary!$E$12*(1+G521)</f>
        <v>6790848</v>
      </c>
      <c r="I521" s="9">
        <f>Summary!$E$12*(1+D521)</f>
        <v>5080362.3461317373</v>
      </c>
    </row>
    <row r="522" spans="1:9" ht="15" customHeight="1" x14ac:dyDescent="0.25">
      <c r="A522" s="2" t="s">
        <v>529</v>
      </c>
      <c r="B522" s="3">
        <v>24151.87</v>
      </c>
      <c r="C522" s="4">
        <f t="shared" si="32"/>
        <v>5.1531439296987891E-3</v>
      </c>
      <c r="D522" s="4">
        <f t="shared" si="33"/>
        <v>6.3862955107578445E-2</v>
      </c>
      <c r="E522" s="3">
        <v>1416.91</v>
      </c>
      <c r="F522" s="4">
        <f t="shared" si="34"/>
        <v>1.5196923859877032E-3</v>
      </c>
      <c r="G522" s="4">
        <f t="shared" si="35"/>
        <v>0.41691000000000011</v>
      </c>
      <c r="H522" s="5">
        <f>Summary!$E$12*(1+G522)</f>
        <v>6801168.0000000009</v>
      </c>
      <c r="I522" s="5">
        <f>Summary!$E$12*(1+D522)</f>
        <v>5106542.1845163768</v>
      </c>
    </row>
    <row r="523" spans="1:9" ht="15" customHeight="1" x14ac:dyDescent="0.25">
      <c r="A523" s="6" t="s">
        <v>530</v>
      </c>
      <c r="B523" s="7">
        <v>24098.2</v>
      </c>
      <c r="C523" s="8">
        <f t="shared" si="32"/>
        <v>-2.2221881783893727E-3</v>
      </c>
      <c r="D523" s="8">
        <f t="shared" si="33"/>
        <v>6.1498851425311862E-2</v>
      </c>
      <c r="E523" s="7">
        <v>1418.18</v>
      </c>
      <c r="F523" s="8">
        <f t="shared" si="34"/>
        <v>8.9631663267253359E-4</v>
      </c>
      <c r="G523" s="8">
        <f t="shared" si="35"/>
        <v>0.41818</v>
      </c>
      <c r="H523" s="9">
        <f>Summary!$E$12*(1+G523)</f>
        <v>6807264</v>
      </c>
      <c r="I523" s="9">
        <f>Summary!$E$12*(1+D523)</f>
        <v>5095194.486841497</v>
      </c>
    </row>
    <row r="524" spans="1:9" ht="15" customHeight="1" x14ac:dyDescent="0.25">
      <c r="A524" s="2" t="s">
        <v>531</v>
      </c>
      <c r="B524" s="3">
        <v>24221</v>
      </c>
      <c r="C524" s="4">
        <f t="shared" si="32"/>
        <v>5.0958162850336386E-3</v>
      </c>
      <c r="D524" s="4">
        <f t="shared" si="33"/>
        <v>6.6908054558949548E-2</v>
      </c>
      <c r="E524" s="3">
        <v>1420</v>
      </c>
      <c r="F524" s="4">
        <f t="shared" si="34"/>
        <v>1.2833349786345316E-3</v>
      </c>
      <c r="G524" s="4">
        <f t="shared" si="35"/>
        <v>0.41999999999999993</v>
      </c>
      <c r="H524" s="5">
        <f>Summary!$E$12*(1+G524)</f>
        <v>6816000</v>
      </c>
      <c r="I524" s="5">
        <f>Summary!$E$12*(1+D524)</f>
        <v>5121158.6618829574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16"/>
  <sheetViews>
    <sheetView showGridLines="0" tabSelected="1" zoomScaleNormal="100" workbookViewId="0">
      <selection activeCell="N11" sqref="N11"/>
    </sheetView>
  </sheetViews>
  <sheetFormatPr defaultColWidth="8.7109375" defaultRowHeight="15" x14ac:dyDescent="0.25"/>
  <cols>
    <col min="2" max="2" width="34" customWidth="1"/>
    <col min="5" max="5" width="16" customWidth="1"/>
  </cols>
  <sheetData>
    <row r="2" spans="2:5" ht="17.25" customHeight="1" x14ac:dyDescent="0.25">
      <c r="B2" s="10" t="s">
        <v>532</v>
      </c>
    </row>
    <row r="3" spans="2:5" ht="15" customHeight="1" x14ac:dyDescent="0.25">
      <c r="B3" s="11" t="s">
        <v>541</v>
      </c>
    </row>
    <row r="6" spans="2:5" ht="15" customHeight="1" x14ac:dyDescent="0.25">
      <c r="B6" s="12" t="s">
        <v>533</v>
      </c>
      <c r="E6" s="13" t="str">
        <f>'Daily Data'!A2</f>
        <v>2024-05-01</v>
      </c>
    </row>
    <row r="7" spans="2:5" ht="15" customHeight="1" x14ac:dyDescent="0.25">
      <c r="B7" s="12" t="s">
        <v>534</v>
      </c>
      <c r="E7" s="13" t="str">
        <f>'Daily Data'!A524</f>
        <v>2026-05-01</v>
      </c>
    </row>
    <row r="8" spans="2:5" ht="15" customHeight="1" x14ac:dyDescent="0.25">
      <c r="B8" s="12" t="s">
        <v>535</v>
      </c>
      <c r="E8" s="14">
        <f>'Daily Data'!D524</f>
        <v>6.6908054558949548E-2</v>
      </c>
    </row>
    <row r="9" spans="2:5" ht="15" customHeight="1" x14ac:dyDescent="0.25">
      <c r="B9" s="12" t="s">
        <v>536</v>
      </c>
      <c r="E9" s="14">
        <f>'Daily Data'!G524</f>
        <v>0.41999999999999993</v>
      </c>
    </row>
    <row r="10" spans="2:5" ht="15" customHeight="1" x14ac:dyDescent="0.25">
      <c r="B10" s="12" t="s">
        <v>537</v>
      </c>
      <c r="E10" s="14">
        <f>E9-E8</f>
        <v>0.35309194544105038</v>
      </c>
    </row>
    <row r="12" spans="2:5" ht="15" customHeight="1" x14ac:dyDescent="0.25">
      <c r="B12" s="12" t="s">
        <v>538</v>
      </c>
      <c r="E12" s="15">
        <v>4800000</v>
      </c>
    </row>
    <row r="13" spans="2:5" ht="15" customHeight="1" x14ac:dyDescent="0.25">
      <c r="B13" s="12" t="s">
        <v>7</v>
      </c>
      <c r="E13" s="16">
        <f>E12*(1+E9)</f>
        <v>6816000</v>
      </c>
    </row>
    <row r="14" spans="2:5" ht="15" customHeight="1" x14ac:dyDescent="0.25">
      <c r="B14" s="12" t="s">
        <v>8</v>
      </c>
      <c r="E14" s="17">
        <f>E12*(1+E8)</f>
        <v>5121158.6618829574</v>
      </c>
    </row>
    <row r="15" spans="2:5" ht="15" customHeight="1" x14ac:dyDescent="0.25">
      <c r="B15" s="12" t="s">
        <v>539</v>
      </c>
      <c r="E15" s="16">
        <f>E13-E12</f>
        <v>2016000</v>
      </c>
    </row>
    <row r="16" spans="2:5" ht="15" customHeight="1" x14ac:dyDescent="0.25">
      <c r="B16" s="12" t="s">
        <v>540</v>
      </c>
      <c r="E16" s="17">
        <f>E14-E12</f>
        <v>321158.66188295744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RCG</cp:lastModifiedBy>
  <cp:revision>0</cp:revision>
  <dcterms:created xsi:type="dcterms:W3CDTF">2026-08-18T08:12:39Z</dcterms:created>
  <dcterms:modified xsi:type="dcterms:W3CDTF">2026-08-18T08:44:26Z</dcterms:modified>
  <dc:language>en-US</dc:language>
</cp:coreProperties>
</file>