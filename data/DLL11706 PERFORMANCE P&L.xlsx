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ising Capital\Dashboard\data\"/>
    </mc:Choice>
  </mc:AlternateContent>
  <xr:revisionPtr revIDLastSave="0" documentId="13_ncr:1_{D55081E5-2B36-490F-9012-0AAE013BFCF8}" xr6:coauthVersionLast="47" xr6:coauthVersionMax="47" xr10:uidLastSave="{00000000-0000-0000-0000-000000000000}"/>
  <bookViews>
    <workbookView xWindow="-110" yWindow="-110" windowWidth="19420" windowHeight="10300" activeTab="1" xr2:uid="{ECEF2C8F-5FBD-44BB-A617-BB4650502BEA}"/>
  </bookViews>
  <sheets>
    <sheet name="RCG INTERS " sheetId="2" r:id="rId1"/>
    <sheet name="NIFTY VS RCG INTERS 3 X " sheetId="3" r:id="rId2"/>
    <sheet name="NIFTY VS RCG INTERS NET AMOUNT" sheetId="4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2" l="1"/>
  <c r="C29" i="2"/>
  <c r="O28" i="2"/>
  <c r="E28" i="2"/>
  <c r="C28" i="2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G54" i="4"/>
  <c r="G53" i="4"/>
  <c r="E53" i="4"/>
  <c r="G52" i="4"/>
  <c r="E52" i="4"/>
  <c r="C52" i="4"/>
  <c r="G51" i="4"/>
  <c r="E51" i="4"/>
  <c r="C51" i="4"/>
  <c r="G50" i="4"/>
  <c r="E50" i="4"/>
  <c r="C50" i="4"/>
  <c r="G49" i="4"/>
  <c r="E49" i="4"/>
  <c r="C49" i="4"/>
  <c r="G48" i="4"/>
  <c r="E48" i="4"/>
  <c r="G47" i="4"/>
  <c r="E47" i="4"/>
  <c r="G46" i="4"/>
  <c r="E46" i="4"/>
  <c r="G45" i="4"/>
  <c r="E45" i="4"/>
  <c r="G44" i="4"/>
  <c r="E44" i="4"/>
  <c r="G43" i="4"/>
  <c r="E43" i="4"/>
  <c r="G42" i="4"/>
  <c r="E42" i="4"/>
  <c r="G41" i="4"/>
  <c r="E41" i="4"/>
  <c r="G40" i="4"/>
  <c r="E40" i="4"/>
  <c r="G39" i="4"/>
  <c r="E39" i="4"/>
  <c r="G38" i="4"/>
  <c r="E38" i="4"/>
  <c r="G37" i="4"/>
  <c r="E37" i="4"/>
  <c r="G36" i="4"/>
  <c r="E36" i="4"/>
  <c r="G35" i="4"/>
  <c r="E35" i="4"/>
  <c r="G34" i="4"/>
  <c r="E34" i="4"/>
  <c r="G33" i="4"/>
  <c r="E33" i="4"/>
  <c r="G32" i="4"/>
  <c r="E32" i="4"/>
  <c r="G31" i="4"/>
  <c r="E31" i="4"/>
  <c r="G30" i="4"/>
  <c r="E30" i="4"/>
  <c r="G29" i="4"/>
  <c r="E29" i="4"/>
  <c r="G28" i="4"/>
  <c r="E28" i="4"/>
  <c r="G27" i="4"/>
  <c r="E27" i="4"/>
  <c r="G26" i="4"/>
  <c r="F26" i="4"/>
  <c r="E26" i="4"/>
  <c r="G25" i="4"/>
  <c r="F25" i="4"/>
  <c r="E25" i="4"/>
  <c r="G24" i="4"/>
  <c r="F24" i="4"/>
  <c r="E24" i="4"/>
  <c r="G23" i="4"/>
  <c r="F23" i="4"/>
  <c r="E23" i="4"/>
  <c r="G22" i="4"/>
  <c r="F22" i="4"/>
  <c r="E22" i="4"/>
  <c r="G21" i="4"/>
  <c r="F21" i="4"/>
  <c r="E21" i="4"/>
  <c r="A21" i="4"/>
  <c r="G20" i="4"/>
  <c r="F20" i="4"/>
  <c r="E20" i="4"/>
  <c r="B20" i="4"/>
  <c r="G19" i="4"/>
  <c r="F19" i="4"/>
  <c r="E19" i="4"/>
  <c r="G18" i="4"/>
  <c r="F18" i="4"/>
  <c r="E18" i="4"/>
  <c r="G17" i="4"/>
  <c r="F17" i="4"/>
  <c r="E17" i="4"/>
  <c r="G16" i="4"/>
  <c r="F16" i="4"/>
  <c r="E16" i="4"/>
  <c r="G15" i="4"/>
  <c r="F15" i="4"/>
  <c r="E15" i="4"/>
  <c r="G14" i="4"/>
  <c r="F14" i="4"/>
  <c r="E14" i="4"/>
  <c r="G13" i="4"/>
  <c r="F13" i="4"/>
  <c r="E13" i="4"/>
  <c r="G12" i="4"/>
  <c r="F12" i="4"/>
  <c r="E12" i="4"/>
  <c r="G11" i="4"/>
  <c r="F11" i="4"/>
  <c r="E11" i="4"/>
  <c r="G10" i="4"/>
  <c r="F10" i="4"/>
  <c r="E10" i="4"/>
  <c r="G9" i="4"/>
  <c r="F9" i="4"/>
  <c r="E9" i="4"/>
  <c r="G8" i="4"/>
  <c r="F8" i="4"/>
  <c r="E8" i="4"/>
  <c r="G7" i="4"/>
  <c r="F7" i="4"/>
  <c r="E7" i="4"/>
  <c r="G6" i="4"/>
  <c r="F6" i="4"/>
  <c r="E6" i="4"/>
  <c r="G5" i="4"/>
  <c r="F5" i="4"/>
  <c r="E5" i="4"/>
  <c r="G4" i="4"/>
  <c r="F4" i="4"/>
  <c r="E4" i="4"/>
  <c r="G3" i="4"/>
  <c r="F3" i="4"/>
  <c r="E3" i="4"/>
  <c r="A3" i="4"/>
  <c r="G2" i="4"/>
  <c r="F2" i="4"/>
  <c r="B2" i="4"/>
  <c r="A22" i="4" l="1"/>
  <c r="B21" i="4"/>
  <c r="A4" i="4"/>
  <c r="B3" i="4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2" i="2"/>
  <c r="A23" i="4" l="1"/>
  <c r="B22" i="4"/>
  <c r="B4" i="4"/>
  <c r="A5" i="4"/>
  <c r="A24" i="4" l="1"/>
  <c r="B23" i="4"/>
  <c r="B5" i="4"/>
  <c r="A6" i="4"/>
  <c r="B24" i="4" l="1"/>
  <c r="A25" i="4"/>
  <c r="B6" i="4"/>
  <c r="A7" i="4"/>
  <c r="B25" i="4" l="1"/>
  <c r="A26" i="4"/>
  <c r="A8" i="4"/>
  <c r="B7" i="4"/>
  <c r="B26" i="4" l="1"/>
  <c r="A27" i="4"/>
  <c r="A9" i="4"/>
  <c r="B8" i="4"/>
  <c r="B9" i="4" l="1"/>
  <c r="A10" i="4"/>
  <c r="B27" i="4"/>
  <c r="A28" i="4"/>
  <c r="B10" i="4" l="1"/>
  <c r="A11" i="4"/>
  <c r="A29" i="4"/>
  <c r="A30" i="4" l="1"/>
  <c r="B11" i="4"/>
  <c r="A12" i="4"/>
  <c r="B12" i="4" l="1"/>
  <c r="A13" i="4"/>
  <c r="A31" i="4"/>
  <c r="A32" i="4" l="1"/>
  <c r="B31" i="4"/>
  <c r="B13" i="4"/>
  <c r="A14" i="4"/>
  <c r="B32" i="4" l="1"/>
  <c r="A33" i="4"/>
  <c r="B14" i="4"/>
  <c r="A15" i="4"/>
  <c r="A16" i="4" l="1"/>
  <c r="B15" i="4"/>
  <c r="B33" i="4"/>
  <c r="A34" i="4"/>
  <c r="B34" i="4" l="1"/>
  <c r="A35" i="4"/>
  <c r="A17" i="4"/>
  <c r="B16" i="4"/>
  <c r="B35" i="4" l="1"/>
  <c r="A36" i="4"/>
  <c r="B17" i="4"/>
  <c r="A18" i="4"/>
  <c r="B18" i="4" l="1"/>
  <c r="A19" i="4"/>
  <c r="B36" i="4"/>
  <c r="A37" i="4"/>
  <c r="B19" i="4" l="1"/>
  <c r="B37" i="4"/>
  <c r="A38" i="4"/>
  <c r="A39" i="4" l="1"/>
  <c r="A40" i="4" l="1"/>
  <c r="A41" i="4" l="1"/>
  <c r="C27" i="2" l="1"/>
  <c r="E27" i="2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E26" i="2" l="1"/>
  <c r="C26" i="2"/>
  <c r="I26" i="2" s="1"/>
  <c r="C25" i="2"/>
  <c r="I25" i="2" s="1"/>
  <c r="E25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4" i="2"/>
  <c r="I23" i="2"/>
  <c r="I22" i="2"/>
  <c r="G44" i="2"/>
  <c r="G43" i="2"/>
  <c r="G42" i="2"/>
  <c r="G41" i="2"/>
  <c r="B52" i="2" l="1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N22" i="2"/>
  <c r="D22" i="2"/>
  <c r="C21" i="2"/>
  <c r="E21" i="2"/>
  <c r="T30" i="2" l="1"/>
  <c r="D30" i="4" s="1"/>
  <c r="K30" i="2"/>
  <c r="B30" i="4"/>
  <c r="T29" i="2"/>
  <c r="D29" i="4" s="1"/>
  <c r="K29" i="2"/>
  <c r="B29" i="4"/>
  <c r="T28" i="2"/>
  <c r="D28" i="4" s="1"/>
  <c r="K28" i="2"/>
  <c r="B28" i="4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C52" i="3"/>
  <c r="C51" i="3"/>
  <c r="C50" i="3"/>
  <c r="C49" i="3"/>
  <c r="C48" i="3"/>
  <c r="C47" i="3"/>
  <c r="C46" i="3"/>
  <c r="C45" i="3"/>
  <c r="C44" i="3"/>
  <c r="C43" i="3"/>
  <c r="C42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D2" i="3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C41" i="3" l="1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0" i="3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2" i="2"/>
  <c r="J3" i="2"/>
  <c r="I21" i="2"/>
  <c r="D21" i="3" s="1"/>
  <c r="I20" i="2"/>
  <c r="D20" i="3" s="1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E20" i="3"/>
  <c r="G20" i="3"/>
  <c r="S48" i="2" l="1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C29" i="4" s="1"/>
  <c r="S28" i="2"/>
  <c r="C28" i="4" s="1"/>
  <c r="S27" i="2"/>
  <c r="S26" i="2"/>
  <c r="S25" i="2"/>
  <c r="S24" i="2"/>
  <c r="S23" i="2"/>
  <c r="S22" i="2"/>
  <c r="S21" i="2"/>
  <c r="S20" i="2"/>
  <c r="L49" i="2"/>
  <c r="L48" i="2"/>
  <c r="L47" i="2"/>
  <c r="L46" i="2"/>
  <c r="L45" i="2"/>
  <c r="L44" i="2"/>
  <c r="N19" i="2"/>
  <c r="C19" i="2"/>
  <c r="E19" i="2"/>
  <c r="D19" i="2" s="1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E53" i="3"/>
  <c r="E52" i="3"/>
  <c r="E51" i="3"/>
  <c r="F52" i="3" s="1"/>
  <c r="E50" i="3"/>
  <c r="E49" i="3"/>
  <c r="E48" i="3"/>
  <c r="F49" i="3" s="1"/>
  <c r="E47" i="3"/>
  <c r="E46" i="3"/>
  <c r="E45" i="3"/>
  <c r="E44" i="3"/>
  <c r="E43" i="3"/>
  <c r="E42" i="3"/>
  <c r="E41" i="3"/>
  <c r="E40" i="3"/>
  <c r="F41" i="3" s="1"/>
  <c r="E39" i="3"/>
  <c r="E38" i="3"/>
  <c r="E37" i="3"/>
  <c r="E36" i="3"/>
  <c r="E35" i="3"/>
  <c r="E34" i="3"/>
  <c r="E33" i="3"/>
  <c r="E32" i="3"/>
  <c r="F33" i="3" s="1"/>
  <c r="E31" i="3"/>
  <c r="E30" i="3"/>
  <c r="E29" i="3"/>
  <c r="E28" i="3"/>
  <c r="E27" i="3"/>
  <c r="E26" i="3"/>
  <c r="E25" i="3"/>
  <c r="E24" i="3"/>
  <c r="E23" i="3"/>
  <c r="E22" i="3"/>
  <c r="E21" i="3"/>
  <c r="E19" i="3"/>
  <c r="G19" i="3"/>
  <c r="E18" i="3"/>
  <c r="G18" i="3"/>
  <c r="F2" i="3"/>
  <c r="F28" i="3" l="1"/>
  <c r="E20" i="2"/>
  <c r="D20" i="2" s="1"/>
  <c r="F32" i="3"/>
  <c r="F40" i="3"/>
  <c r="F48" i="3"/>
  <c r="F51" i="3"/>
  <c r="F46" i="3"/>
  <c r="F34" i="3"/>
  <c r="F42" i="3"/>
  <c r="F38" i="3"/>
  <c r="F36" i="3"/>
  <c r="F44" i="3"/>
  <c r="F30" i="3"/>
  <c r="F29" i="3"/>
  <c r="F37" i="3"/>
  <c r="F45" i="3"/>
  <c r="F53" i="3"/>
  <c r="F50" i="3"/>
  <c r="F27" i="3"/>
  <c r="F31" i="3"/>
  <c r="F35" i="3"/>
  <c r="F39" i="3"/>
  <c r="F43" i="3"/>
  <c r="F47" i="3"/>
  <c r="S19" i="2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B2" i="3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D24" i="3"/>
  <c r="D23" i="3"/>
  <c r="D22" i="3"/>
  <c r="D21" i="2"/>
  <c r="D18" i="2"/>
  <c r="D17" i="2"/>
  <c r="D16" i="2"/>
  <c r="D15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A19" i="3" l="1"/>
  <c r="O27" i="2"/>
  <c r="M27" i="2" s="1"/>
  <c r="O26" i="2"/>
  <c r="M26" i="2" s="1"/>
  <c r="O25" i="2"/>
  <c r="M25" i="2" s="1"/>
  <c r="O24" i="2"/>
  <c r="M24" i="2" s="1"/>
  <c r="O23" i="2"/>
  <c r="O22" i="2"/>
  <c r="O21" i="2"/>
  <c r="O20" i="2"/>
  <c r="O19" i="2"/>
  <c r="O18" i="2"/>
  <c r="O17" i="2"/>
  <c r="O16" i="2"/>
  <c r="O15" i="2"/>
  <c r="O14" i="2"/>
  <c r="O13" i="2"/>
  <c r="D14" i="2"/>
  <c r="D13" i="2"/>
  <c r="D12" i="2"/>
  <c r="D11" i="2"/>
  <c r="D10" i="2"/>
  <c r="D9" i="2"/>
  <c r="D8" i="2"/>
  <c r="D7" i="2"/>
  <c r="O12" i="2"/>
  <c r="O11" i="2"/>
  <c r="O10" i="2"/>
  <c r="O9" i="2"/>
  <c r="O8" i="2"/>
  <c r="O7" i="2"/>
  <c r="A3" i="2"/>
  <c r="G47" i="2"/>
  <c r="G46" i="2"/>
  <c r="G45" i="2"/>
  <c r="M39" i="2"/>
  <c r="M38" i="2"/>
  <c r="R38" i="2"/>
  <c r="M37" i="2"/>
  <c r="R37" i="2"/>
  <c r="R36" i="2"/>
  <c r="R35" i="2"/>
  <c r="M34" i="2"/>
  <c r="R34" i="2"/>
  <c r="M33" i="2"/>
  <c r="R33" i="2"/>
  <c r="M32" i="2"/>
  <c r="M31" i="2"/>
  <c r="M30" i="2"/>
  <c r="M29" i="2"/>
  <c r="M28" i="2"/>
  <c r="R13" i="2"/>
  <c r="B13" i="2"/>
  <c r="R12" i="2"/>
  <c r="B12" i="2"/>
  <c r="R11" i="2"/>
  <c r="B11" i="2"/>
  <c r="R10" i="2"/>
  <c r="B10" i="2"/>
  <c r="R9" i="2"/>
  <c r="R6" i="2"/>
  <c r="O6" i="2"/>
  <c r="D6" i="2"/>
  <c r="B6" i="2"/>
  <c r="R5" i="2"/>
  <c r="O5" i="2"/>
  <c r="D5" i="2"/>
  <c r="B5" i="2"/>
  <c r="R4" i="2"/>
  <c r="O4" i="2"/>
  <c r="D4" i="2"/>
  <c r="B4" i="2"/>
  <c r="R3" i="2"/>
  <c r="O3" i="2"/>
  <c r="D3" i="2"/>
  <c r="B3" i="2"/>
  <c r="R2" i="2"/>
  <c r="O2" i="2"/>
  <c r="L2" i="2"/>
  <c r="A4" i="2" l="1"/>
  <c r="B3" i="3"/>
  <c r="M3" i="2"/>
  <c r="M5" i="2"/>
  <c r="M6" i="2"/>
  <c r="M12" i="2"/>
  <c r="M36" i="2"/>
  <c r="M2" i="2"/>
  <c r="M35" i="2"/>
  <c r="M10" i="2"/>
  <c r="M11" i="2"/>
  <c r="M4" i="2"/>
  <c r="M13" i="2"/>
  <c r="A5" i="2" l="1"/>
  <c r="B4" i="3"/>
  <c r="A21" i="3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6" i="2" l="1"/>
  <c r="B5" i="3"/>
  <c r="A7" i="2" l="1"/>
  <c r="B6" i="3"/>
  <c r="A8" i="2" l="1"/>
  <c r="A9" i="2" l="1"/>
  <c r="A10" i="2" l="1"/>
  <c r="A11" i="2" l="1"/>
  <c r="B10" i="3"/>
  <c r="A12" i="2" l="1"/>
  <c r="B11" i="3"/>
  <c r="A13" i="2" l="1"/>
  <c r="B12" i="3"/>
  <c r="A14" i="2" l="1"/>
  <c r="B13" i="3"/>
  <c r="A15" i="2" l="1"/>
  <c r="A16" i="2" l="1"/>
  <c r="A17" i="2" l="1"/>
  <c r="A18" i="2" s="1"/>
  <c r="A19" i="2" l="1"/>
  <c r="A21" i="2" s="1"/>
  <c r="A22" i="2" s="1"/>
  <c r="A23" i="2" l="1"/>
  <c r="A24" i="2" l="1"/>
  <c r="A25" i="2" l="1"/>
  <c r="A26" i="2" l="1"/>
  <c r="A27" i="2" l="1"/>
  <c r="R14" i="2"/>
  <c r="B14" i="2"/>
  <c r="B14" i="3" s="1"/>
  <c r="A28" i="2" l="1"/>
  <c r="B26" i="3"/>
  <c r="B25" i="3"/>
  <c r="B27" i="3"/>
  <c r="B24" i="3"/>
  <c r="B28" i="3"/>
  <c r="M14" i="2"/>
  <c r="R7" i="2"/>
  <c r="B7" i="2"/>
  <c r="B7" i="3" l="1"/>
  <c r="A29" i="2"/>
  <c r="M7" i="2"/>
  <c r="B9" i="2"/>
  <c r="R8" i="2"/>
  <c r="B8" i="2"/>
  <c r="A30" i="2" l="1"/>
  <c r="B29" i="3"/>
  <c r="B9" i="3"/>
  <c r="B8" i="3"/>
  <c r="M9" i="2"/>
  <c r="M8" i="2"/>
  <c r="R32" i="2"/>
  <c r="R23" i="2"/>
  <c r="R16" i="2"/>
  <c r="B23" i="2"/>
  <c r="C23" i="3" s="1"/>
  <c r="R24" i="2"/>
  <c r="C24" i="3" s="1"/>
  <c r="R31" i="2"/>
  <c r="R30" i="2"/>
  <c r="R29" i="2"/>
  <c r="B20" i="2"/>
  <c r="B20" i="3" s="1"/>
  <c r="R19" i="2"/>
  <c r="B22" i="2"/>
  <c r="R18" i="2"/>
  <c r="R26" i="2"/>
  <c r="C26" i="3" s="1"/>
  <c r="R17" i="2"/>
  <c r="R21" i="2"/>
  <c r="R28" i="2"/>
  <c r="R20" i="2"/>
  <c r="B21" i="2"/>
  <c r="B18" i="2"/>
  <c r="R15" i="2"/>
  <c r="B17" i="2"/>
  <c r="B16" i="2"/>
  <c r="B16" i="3" s="1"/>
  <c r="B19" i="2"/>
  <c r="B19" i="3" s="1"/>
  <c r="R25" i="2"/>
  <c r="C25" i="3" s="1"/>
  <c r="R27" i="2"/>
  <c r="C27" i="3" s="1"/>
  <c r="B15" i="2"/>
  <c r="B15" i="3" s="1"/>
  <c r="R22" i="2"/>
  <c r="C22" i="3" l="1"/>
  <c r="C21" i="3"/>
  <c r="A31" i="2"/>
  <c r="B30" i="3"/>
  <c r="B23" i="3"/>
  <c r="M22" i="2"/>
  <c r="B22" i="3"/>
  <c r="M21" i="2"/>
  <c r="B21" i="3"/>
  <c r="B18" i="3"/>
  <c r="B17" i="3"/>
  <c r="M23" i="2"/>
  <c r="M18" i="2"/>
  <c r="M16" i="2"/>
  <c r="M17" i="2"/>
  <c r="M20" i="2"/>
  <c r="M19" i="2"/>
  <c r="M15" i="2"/>
  <c r="A32" i="2" l="1"/>
  <c r="B31" i="3"/>
  <c r="G2" i="2"/>
  <c r="H2" i="2" l="1"/>
  <c r="A33" i="2"/>
  <c r="B32" i="3"/>
  <c r="G3" i="2"/>
  <c r="H3" i="2" s="1"/>
  <c r="A34" i="2" l="1"/>
  <c r="B33" i="3"/>
  <c r="G4" i="2"/>
  <c r="H4" i="2" s="1"/>
  <c r="A35" i="2" l="1"/>
  <c r="B34" i="3"/>
  <c r="G5" i="2"/>
  <c r="H5" i="2" s="1"/>
  <c r="A36" i="2" l="1"/>
  <c r="B35" i="3"/>
  <c r="G6" i="2"/>
  <c r="H6" i="2" s="1"/>
  <c r="A37" i="2" l="1"/>
  <c r="B36" i="3"/>
  <c r="G8" i="2"/>
  <c r="H8" i="2" s="1"/>
  <c r="A38" i="2" l="1"/>
  <c r="G9" i="2"/>
  <c r="H9" i="2" s="1"/>
  <c r="A39" i="2" l="1"/>
  <c r="G10" i="2"/>
  <c r="H10" i="2" s="1"/>
  <c r="A40" i="2" l="1"/>
  <c r="G11" i="2"/>
  <c r="H11" i="2" s="1"/>
  <c r="A41" i="2" l="1"/>
  <c r="G12" i="2"/>
  <c r="H12" i="2" s="1"/>
  <c r="B37" i="3" l="1"/>
  <c r="G13" i="2"/>
  <c r="H13" i="2" s="1"/>
  <c r="G14" i="2" l="1"/>
  <c r="H14" i="2" s="1"/>
  <c r="G15" i="2" l="1"/>
  <c r="H15" i="2" s="1"/>
  <c r="G16" i="2" l="1"/>
  <c r="H16" i="2" s="1"/>
  <c r="G17" i="2" l="1"/>
  <c r="H17" i="2" s="1"/>
  <c r="G18" i="2" l="1"/>
  <c r="H18" i="2" s="1"/>
  <c r="G19" i="2" l="1"/>
  <c r="H19" i="2" s="1"/>
  <c r="G20" i="2" l="1"/>
  <c r="H20" i="2" s="1"/>
  <c r="G7" i="2" l="1"/>
  <c r="H7" i="2" s="1"/>
  <c r="G21" i="2" l="1"/>
  <c r="H21" i="2" s="1"/>
  <c r="G22" i="2" l="1"/>
  <c r="H22" i="2" s="1"/>
  <c r="G23" i="2" l="1"/>
  <c r="H23" i="2" s="1"/>
  <c r="G24" i="2" l="1"/>
  <c r="H24" i="2" s="1"/>
  <c r="G25" i="2" l="1"/>
  <c r="H25" i="2" s="1"/>
  <c r="G26" i="2" l="1"/>
  <c r="H26" i="2" s="1"/>
  <c r="G27" i="2" l="1"/>
  <c r="H27" i="2" s="1"/>
  <c r="G28" i="2"/>
  <c r="H28" i="2" s="1"/>
  <c r="G29" i="2" l="1"/>
  <c r="H29" i="2" s="1"/>
  <c r="G30" i="2" l="1"/>
  <c r="H30" i="2" s="1"/>
  <c r="G31" i="2" l="1"/>
  <c r="H31" i="2" s="1"/>
  <c r="G32" i="2" l="1"/>
  <c r="H32" i="2" s="1"/>
  <c r="G33" i="2" l="1"/>
  <c r="H33" i="2" s="1"/>
  <c r="G34" i="2" l="1"/>
  <c r="H34" i="2" s="1"/>
  <c r="G35" i="2" l="1"/>
  <c r="H35" i="2" s="1"/>
  <c r="G36" i="2" l="1"/>
  <c r="H36" i="2" s="1"/>
  <c r="G37" i="2" l="1"/>
  <c r="G38" i="2" l="1"/>
  <c r="G39" i="2" l="1"/>
  <c r="G40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RCG</author>
  </authors>
  <commentList>
    <comment ref="P2" authorId="0" shapeId="0" xr:uid="{8F2E3A7C-2AE7-449A-9CB2-026860C90128}">
      <text>
        <r>
          <rPr>
            <b/>
            <sz val="9"/>
            <color indexed="81"/>
            <rFont val="Tahoma"/>
            <family val="2"/>
          </rPr>
          <t>RCG:</t>
        </r>
        <r>
          <rPr>
            <sz val="9"/>
            <color indexed="81"/>
            <rFont val="Tahoma"/>
            <family val="2"/>
          </rPr>
          <t xml:space="preserve">
1 cr WD</t>
        </r>
      </text>
    </comment>
    <comment ref="P3" authorId="0" shapeId="0" xr:uid="{B5A471E7-458D-42E6-A3D5-18A69BE4D891}">
      <text>
        <r>
          <rPr>
            <b/>
            <sz val="9"/>
            <color indexed="81"/>
            <rFont val="Tahoma"/>
            <family val="2"/>
          </rPr>
          <t>RCG:</t>
        </r>
        <r>
          <rPr>
            <sz val="9"/>
            <color indexed="81"/>
            <rFont val="Tahoma"/>
            <family val="2"/>
          </rPr>
          <t xml:space="preserve">
1 cr WD</t>
        </r>
      </text>
    </comment>
    <comment ref="P4" authorId="0" shapeId="0" xr:uid="{C36E4159-B7FD-4742-996A-8D3911DD1AC0}">
      <text>
        <r>
          <rPr>
            <b/>
            <sz val="9"/>
            <color indexed="81"/>
            <rFont val="Tahoma"/>
            <family val="2"/>
          </rPr>
          <t>RCG:</t>
        </r>
        <r>
          <rPr>
            <sz val="9"/>
            <color indexed="81"/>
            <rFont val="Tahoma"/>
            <family val="2"/>
          </rPr>
          <t xml:space="preserve">
1 cr WD</t>
        </r>
      </text>
    </comment>
    <comment ref="P5" authorId="0" shapeId="0" xr:uid="{6EB91E92-4F96-494D-8F35-9F8E843DC06F}">
      <text>
        <r>
          <rPr>
            <b/>
            <sz val="9"/>
            <color indexed="81"/>
            <rFont val="Tahoma"/>
            <family val="2"/>
          </rPr>
          <t>RCG:</t>
        </r>
        <r>
          <rPr>
            <sz val="9"/>
            <color indexed="81"/>
            <rFont val="Tahoma"/>
            <family val="2"/>
          </rPr>
          <t xml:space="preserve">
1 cr WD</t>
        </r>
      </text>
    </comment>
    <comment ref="P6" authorId="0" shapeId="0" xr:uid="{59BFDF21-7A75-4F72-8734-C8B4C4EEDA6E}">
      <text>
        <r>
          <rPr>
            <b/>
            <sz val="9"/>
            <color indexed="81"/>
            <rFont val="Tahoma"/>
            <family val="2"/>
          </rPr>
          <t>RCG:</t>
        </r>
        <r>
          <rPr>
            <sz val="9"/>
            <color indexed="81"/>
            <rFont val="Tahoma"/>
            <family val="2"/>
          </rPr>
          <t xml:space="preserve">
1 cr WD</t>
        </r>
      </text>
    </comment>
    <comment ref="P7" authorId="0" shapeId="0" xr:uid="{6F936D18-2A12-4D29-BB50-20BBDFAEEDF5}">
      <text>
        <r>
          <rPr>
            <b/>
            <sz val="9"/>
            <color indexed="81"/>
            <rFont val="Tahoma"/>
            <family val="2"/>
          </rPr>
          <t>RCG:</t>
        </r>
        <r>
          <rPr>
            <sz val="9"/>
            <color indexed="81"/>
            <rFont val="Tahoma"/>
            <family val="2"/>
          </rPr>
          <t xml:space="preserve">
1 cr WD</t>
        </r>
      </text>
    </comment>
    <comment ref="P8" authorId="0" shapeId="0" xr:uid="{33AD47C6-E17D-4472-AA89-D7595E9667A5}">
      <text>
        <r>
          <rPr>
            <b/>
            <sz val="9"/>
            <color indexed="81"/>
            <rFont val="Tahoma"/>
            <family val="2"/>
          </rPr>
          <t>RCG:</t>
        </r>
        <r>
          <rPr>
            <sz val="9"/>
            <color indexed="81"/>
            <rFont val="Tahoma"/>
            <family val="2"/>
          </rPr>
          <t xml:space="preserve">
1 cr WD</t>
        </r>
      </text>
    </comment>
    <comment ref="P9" authorId="0" shapeId="0" xr:uid="{83339CC3-C500-49E2-8016-1EB94D814DEE}">
      <text>
        <r>
          <rPr>
            <b/>
            <sz val="9"/>
            <color indexed="81"/>
            <rFont val="Tahoma"/>
            <family val="2"/>
          </rPr>
          <t>RCG:</t>
        </r>
        <r>
          <rPr>
            <sz val="9"/>
            <color indexed="81"/>
            <rFont val="Tahoma"/>
            <family val="2"/>
          </rPr>
          <t xml:space="preserve">
1 cr WD</t>
        </r>
      </text>
    </comment>
    <comment ref="P10" authorId="0" shapeId="0" xr:uid="{15C26297-C926-48F4-917C-5654FBDBF4BD}">
      <text>
        <r>
          <rPr>
            <b/>
            <sz val="9"/>
            <color indexed="81"/>
            <rFont val="Tahoma"/>
            <family val="2"/>
          </rPr>
          <t>RCG:</t>
        </r>
        <r>
          <rPr>
            <sz val="9"/>
            <color indexed="81"/>
            <rFont val="Tahoma"/>
            <family val="2"/>
          </rPr>
          <t xml:space="preserve">
1 cr WD</t>
        </r>
      </text>
    </comment>
    <comment ref="P11" authorId="0" shapeId="0" xr:uid="{28CFA3BA-43C1-4234-9F4D-67E2902EE6C0}">
      <text>
        <r>
          <rPr>
            <b/>
            <sz val="9"/>
            <color indexed="81"/>
            <rFont val="Tahoma"/>
            <family val="2"/>
          </rPr>
          <t>RCG:</t>
        </r>
        <r>
          <rPr>
            <sz val="9"/>
            <color indexed="81"/>
            <rFont val="Tahoma"/>
            <family val="2"/>
          </rPr>
          <t xml:space="preserve">
1 cr WD</t>
        </r>
      </text>
    </comment>
    <comment ref="P12" authorId="0" shapeId="0" xr:uid="{0751FE2F-71F8-4D91-926A-18B68CB63E25}">
      <text>
        <r>
          <rPr>
            <b/>
            <sz val="9"/>
            <color indexed="81"/>
            <rFont val="Tahoma"/>
            <family val="2"/>
          </rPr>
          <t>RCG:</t>
        </r>
        <r>
          <rPr>
            <sz val="9"/>
            <color indexed="81"/>
            <rFont val="Tahoma"/>
            <family val="2"/>
          </rPr>
          <t xml:space="preserve">
1 cr WD</t>
        </r>
      </text>
    </comment>
    <comment ref="P13" authorId="0" shapeId="0" xr:uid="{75F5639D-0D69-450B-850A-0B3370B5E2AC}">
      <text>
        <r>
          <rPr>
            <b/>
            <sz val="9"/>
            <color indexed="81"/>
            <rFont val="Tahoma"/>
            <family val="2"/>
          </rPr>
          <t>RCG:</t>
        </r>
        <r>
          <rPr>
            <sz val="9"/>
            <color indexed="81"/>
            <rFont val="Tahoma"/>
            <family val="2"/>
          </rPr>
          <t xml:space="preserve">
1 cr WD</t>
        </r>
      </text>
    </comment>
    <comment ref="P14" authorId="0" shapeId="0" xr:uid="{BCAE3100-31AB-493C-962A-44683510839E}">
      <text>
        <r>
          <rPr>
            <b/>
            <sz val="9"/>
            <color indexed="81"/>
            <rFont val="Tahoma"/>
            <family val="2"/>
          </rPr>
          <t>RCG:</t>
        </r>
        <r>
          <rPr>
            <sz val="9"/>
            <color indexed="81"/>
            <rFont val="Tahoma"/>
            <family val="2"/>
          </rPr>
          <t xml:space="preserve">
1 cr WD</t>
        </r>
      </text>
    </comment>
    <comment ref="P15" authorId="0" shapeId="0" xr:uid="{DDE11324-8DBA-4FBE-BD6C-EA6715F7A8B5}">
      <text>
        <r>
          <rPr>
            <b/>
            <sz val="9"/>
            <color indexed="81"/>
            <rFont val="Tahoma"/>
            <family val="2"/>
          </rPr>
          <t>RCG:</t>
        </r>
        <r>
          <rPr>
            <sz val="9"/>
            <color indexed="81"/>
            <rFont val="Tahoma"/>
            <family val="2"/>
          </rPr>
          <t xml:space="preserve">
1 cr WD</t>
        </r>
      </text>
    </comment>
    <comment ref="P16" authorId="0" shapeId="0" xr:uid="{7729AF8B-5C07-4804-84FE-7E2054C3D86F}">
      <text>
        <r>
          <rPr>
            <b/>
            <sz val="9"/>
            <color indexed="81"/>
            <rFont val="Tahoma"/>
            <family val="2"/>
          </rPr>
          <t>RCG:</t>
        </r>
        <r>
          <rPr>
            <sz val="9"/>
            <color indexed="81"/>
            <rFont val="Tahoma"/>
            <family val="2"/>
          </rPr>
          <t xml:space="preserve">
1 cr WD</t>
        </r>
      </text>
    </comment>
    <comment ref="P17" authorId="0" shapeId="0" xr:uid="{B1293123-F6BC-4B75-A7D6-524D93D4699C}">
      <text>
        <r>
          <rPr>
            <b/>
            <sz val="9"/>
            <color indexed="81"/>
            <rFont val="Tahoma"/>
            <family val="2"/>
          </rPr>
          <t>RCG:</t>
        </r>
        <r>
          <rPr>
            <sz val="9"/>
            <color indexed="81"/>
            <rFont val="Tahoma"/>
            <family val="2"/>
          </rPr>
          <t xml:space="preserve">
1 cr WD</t>
        </r>
      </text>
    </comment>
    <comment ref="P18" authorId="0" shapeId="0" xr:uid="{211BCD61-C94C-4BEB-8B92-36678AE092AE}">
      <text>
        <r>
          <rPr>
            <b/>
            <sz val="9"/>
            <color indexed="81"/>
            <rFont val="Tahoma"/>
            <family val="2"/>
          </rPr>
          <t>RCG:</t>
        </r>
        <r>
          <rPr>
            <sz val="9"/>
            <color indexed="81"/>
            <rFont val="Tahoma"/>
            <family val="2"/>
          </rPr>
          <t xml:space="preserve">
1 cr WD</t>
        </r>
      </text>
    </comment>
    <comment ref="P19" authorId="0" shapeId="0" xr:uid="{72721401-F199-43D6-A4CE-3CCB623CF7A3}">
      <text>
        <r>
          <rPr>
            <b/>
            <sz val="9"/>
            <color indexed="81"/>
            <rFont val="Tahoma"/>
            <family val="2"/>
          </rPr>
          <t>RCG:</t>
        </r>
        <r>
          <rPr>
            <sz val="9"/>
            <color indexed="81"/>
            <rFont val="Tahoma"/>
            <family val="2"/>
          </rPr>
          <t xml:space="preserve">
1 cr WD</t>
        </r>
      </text>
    </comment>
    <comment ref="P20" authorId="0" shapeId="0" xr:uid="{D353EAE1-4E27-4827-9731-B4E32F33CDC8}">
      <text>
        <r>
          <rPr>
            <b/>
            <sz val="9"/>
            <color indexed="81"/>
            <rFont val="Tahoma"/>
            <family val="2"/>
          </rPr>
          <t>RCG:</t>
        </r>
        <r>
          <rPr>
            <sz val="9"/>
            <color indexed="81"/>
            <rFont val="Tahoma"/>
            <family val="2"/>
          </rPr>
          <t xml:space="preserve">
1 cr WD</t>
        </r>
      </text>
    </comment>
    <comment ref="P21" authorId="0" shapeId="0" xr:uid="{5352673C-89DC-4B66-B27D-9BE3FC63B297}">
      <text>
        <r>
          <rPr>
            <b/>
            <sz val="9"/>
            <color indexed="81"/>
            <rFont val="Tahoma"/>
            <family val="2"/>
          </rPr>
          <t>RCG:</t>
        </r>
        <r>
          <rPr>
            <sz val="9"/>
            <color indexed="81"/>
            <rFont val="Tahoma"/>
            <family val="2"/>
          </rPr>
          <t xml:space="preserve">
1 cr WD</t>
        </r>
      </text>
    </comment>
    <comment ref="P22" authorId="0" shapeId="0" xr:uid="{3FBB4554-E760-4A5C-B113-245B14D5D4C1}">
      <text>
        <r>
          <rPr>
            <b/>
            <sz val="9"/>
            <color indexed="81"/>
            <rFont val="Tahoma"/>
            <family val="2"/>
          </rPr>
          <t>RCG:</t>
        </r>
        <r>
          <rPr>
            <sz val="9"/>
            <color indexed="81"/>
            <rFont val="Tahoma"/>
            <family val="2"/>
          </rPr>
          <t xml:space="preserve">
1 cr WD</t>
        </r>
      </text>
    </comment>
    <comment ref="P23" authorId="0" shapeId="0" xr:uid="{4B18E55A-96B3-4F94-AE35-E57009F6A151}">
      <text>
        <r>
          <rPr>
            <b/>
            <sz val="9"/>
            <color indexed="81"/>
            <rFont val="Tahoma"/>
            <family val="2"/>
          </rPr>
          <t>RCG:</t>
        </r>
        <r>
          <rPr>
            <sz val="9"/>
            <color indexed="81"/>
            <rFont val="Tahoma"/>
            <family val="2"/>
          </rPr>
          <t xml:space="preserve">
1 cr WD</t>
        </r>
      </text>
    </comment>
    <comment ref="P24" authorId="0" shapeId="0" xr:uid="{D25C1C19-B62D-4D69-8356-4769FEB4BD5A}">
      <text>
        <r>
          <rPr>
            <b/>
            <sz val="9"/>
            <color indexed="81"/>
            <rFont val="Tahoma"/>
            <family val="2"/>
          </rPr>
          <t>RCG:</t>
        </r>
        <r>
          <rPr>
            <sz val="9"/>
            <color indexed="81"/>
            <rFont val="Tahoma"/>
            <family val="2"/>
          </rPr>
          <t xml:space="preserve">
1 cr WD</t>
        </r>
      </text>
    </comment>
    <comment ref="P25" authorId="0" shapeId="0" xr:uid="{26E198A7-4050-48FA-9E83-D6548BEE270A}">
      <text>
        <r>
          <rPr>
            <b/>
            <sz val="9"/>
            <color indexed="81"/>
            <rFont val="Tahoma"/>
            <family val="2"/>
          </rPr>
          <t>RCG:</t>
        </r>
        <r>
          <rPr>
            <sz val="9"/>
            <color indexed="81"/>
            <rFont val="Tahoma"/>
            <family val="2"/>
          </rPr>
          <t xml:space="preserve">
1 cr WD</t>
        </r>
      </text>
    </comment>
    <comment ref="P26" authorId="0" shapeId="0" xr:uid="{35C0E9B9-9E66-44EC-A516-394820B87FC6}">
      <text>
        <r>
          <rPr>
            <b/>
            <sz val="9"/>
            <color indexed="81"/>
            <rFont val="Tahoma"/>
            <family val="2"/>
          </rPr>
          <t>RCG:</t>
        </r>
        <r>
          <rPr>
            <sz val="9"/>
            <color indexed="81"/>
            <rFont val="Tahoma"/>
            <family val="2"/>
          </rPr>
          <t xml:space="preserve">
1 cr WD</t>
        </r>
      </text>
    </comment>
    <comment ref="P27" authorId="0" shapeId="0" xr:uid="{376E25A0-6DC6-4CCB-A443-82D1767C72A1}">
      <text>
        <r>
          <rPr>
            <b/>
            <sz val="9"/>
            <color indexed="81"/>
            <rFont val="Tahoma"/>
            <family val="2"/>
          </rPr>
          <t>RCG:</t>
        </r>
        <r>
          <rPr>
            <sz val="9"/>
            <color indexed="81"/>
            <rFont val="Tahoma"/>
            <family val="2"/>
          </rPr>
          <t xml:space="preserve">
1 cr WD</t>
        </r>
      </text>
    </comment>
    <comment ref="P28" authorId="0" shapeId="0" xr:uid="{B57B3880-80D5-48E8-9944-F0B86A3E879B}">
      <text>
        <r>
          <rPr>
            <b/>
            <sz val="9"/>
            <color indexed="81"/>
            <rFont val="Tahoma"/>
            <family val="2"/>
          </rPr>
          <t>RCG:</t>
        </r>
        <r>
          <rPr>
            <sz val="9"/>
            <color indexed="81"/>
            <rFont val="Tahoma"/>
            <family val="2"/>
          </rPr>
          <t xml:space="preserve">
1 cr WD</t>
        </r>
      </text>
    </comment>
    <comment ref="P29" authorId="0" shapeId="0" xr:uid="{26910872-FAFA-49A6-BDF4-81C2D71AF793}">
      <text>
        <r>
          <rPr>
            <b/>
            <sz val="9"/>
            <color indexed="81"/>
            <rFont val="Tahoma"/>
            <family val="2"/>
          </rPr>
          <t>RCG:</t>
        </r>
        <r>
          <rPr>
            <sz val="9"/>
            <color indexed="81"/>
            <rFont val="Tahoma"/>
            <family val="2"/>
          </rPr>
          <t xml:space="preserve">
1 cr WD</t>
        </r>
      </text>
    </comment>
    <comment ref="P30" authorId="0" shapeId="0" xr:uid="{633990AA-6DF0-40F6-9E26-185CDA52F6AE}">
      <text>
        <r>
          <rPr>
            <b/>
            <sz val="9"/>
            <color indexed="81"/>
            <rFont val="Tahoma"/>
            <family val="2"/>
          </rPr>
          <t>RCG:</t>
        </r>
        <r>
          <rPr>
            <sz val="9"/>
            <color indexed="81"/>
            <rFont val="Tahoma"/>
            <family val="2"/>
          </rPr>
          <t xml:space="preserve">
1 cr WD</t>
        </r>
      </text>
    </comment>
  </commentList>
</comments>
</file>

<file path=xl/sharedStrings.xml><?xml version="1.0" encoding="utf-8"?>
<sst xmlns="http://schemas.openxmlformats.org/spreadsheetml/2006/main" count="41" uniqueCount="30">
  <si>
    <t>DATE</t>
  </si>
  <si>
    <t>MARGIN USE CARRY</t>
  </si>
  <si>
    <t>AVG  DEPOSITE</t>
  </si>
  <si>
    <t>RETURN ON USE MARGIN</t>
  </si>
  <si>
    <t>RUNNING BALANCE</t>
  </si>
  <si>
    <t>POSITION CR/DR</t>
  </si>
  <si>
    <t>% OF CR/DR VS MARGIN</t>
  </si>
  <si>
    <t>CARRY +PEAK</t>
  </si>
  <si>
    <t>NET MTM</t>
  </si>
  <si>
    <t>RUNNING ROI ON DEPOSITE</t>
  </si>
  <si>
    <t>RUNNING P&amp;l</t>
  </si>
  <si>
    <t>ROI ON DEPOSITE</t>
  </si>
  <si>
    <t>COMPOUNDED ROI</t>
  </si>
  <si>
    <t>NET MARGIN</t>
  </si>
  <si>
    <t>RUNNING ROI ON COMPOUNDING</t>
  </si>
  <si>
    <t>HIGH</t>
  </si>
  <si>
    <t>LOW</t>
  </si>
  <si>
    <t>CLOSE</t>
  </si>
  <si>
    <t>DAILY SWING</t>
  </si>
  <si>
    <t>NIFTY NET CHANGE DAILY</t>
  </si>
  <si>
    <t>NIFTY NET CONTINUE</t>
  </si>
  <si>
    <t>MAY END</t>
  </si>
  <si>
    <t>TAX COST</t>
  </si>
  <si>
    <t>TAX RUNNING COST</t>
  </si>
  <si>
    <t xml:space="preserve">INTREST COST 5% P.A 36 L </t>
  </si>
  <si>
    <t>DYA ROI ON DEPOSITE</t>
  </si>
  <si>
    <t xml:space="preserve">DAY ROI </t>
  </si>
  <si>
    <t xml:space="preserve">RUNNING ROI </t>
  </si>
  <si>
    <t>RUNNING  RETURN ON NET MARGIN</t>
  </si>
  <si>
    <t>DYA  RETURN ON NET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</si>
</sst>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000"/>
    <numFmt numFmtId="165" formatCode="0.000"/>
    <numFmt numFmtId="166" formatCode="0.0"/>
  </numFmts>
  <fonts count="9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8">
    <xf numFmtId="0" fontId="0" fillId="0" borderId="0" xfId="0"/>
    <xf numFmtId="14" fontId="2" fillId="0" borderId="1" xfId="1" applyNumberFormat="1" applyFont="1" applyBorder="1" applyAlignment="1">
      <alignment horizontal="center"/>
    </xf>
    <xf numFmtId="9" fontId="4" fillId="0" borderId="1" xfId="1" applyFont="1" applyBorder="1" applyAlignment="1">
      <alignment horizontal="center"/>
    </xf>
    <xf numFmtId="14" fontId="4" fillId="0" borderId="1" xfId="1" applyNumberFormat="1" applyFont="1" applyBorder="1" applyAlignment="1">
      <alignment horizontal="center"/>
    </xf>
    <xf numFmtId="1" fontId="4" fillId="0" borderId="1" xfId="1" applyNumberFormat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1" fontId="3" fillId="0" borderId="1" xfId="1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4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" fontId="8" fillId="0" borderId="1" xfId="1" applyNumberFormat="1" applyFont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4" fillId="2" borderId="1" xfId="1" applyNumberFormat="1" applyFont="1" applyFill="1" applyBorder="1" applyAlignment="1">
      <alignment horizontal="center"/>
    </xf>
  </cellXfs>
  <cellStyles count="5">
    <cellStyle name="Comma 2" xfId="3" xr:uid="{D2C20459-4704-49EB-A242-666F346DAF24}"/>
    <cellStyle name="Normal" xfId="0" builtinId="0"/>
    <cellStyle name="Normal 2" xfId="2" xr:uid="{83EA2ECD-D4D3-4444-9953-5A2753820BC2}"/>
    <cellStyle name="Percent" xfId="1" builtinId="5"/>
    <cellStyle name="Percent 2" xfId="4" xr:uid="{EC43D9DA-5907-4C65-B6B7-FB14F1B1C7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DLL11706\DLL%2011706\DLL%2011706%20POSITION%20FILE%20MAY.xlsx" TargetMode="External"/><Relationship Id="rId1" Type="http://schemas.openxmlformats.org/officeDocument/2006/relationships/externalLinkPath" Target="file:///G:\My%20Drive\DLL11706\DLL%2011706\DLL%2011706%20POSITION%20FILE%20MA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DLL11706\DLL%2011706\DLL%2011706%20POSITION%20FILE%20JUN.xlsx" TargetMode="External"/><Relationship Id="rId1" Type="http://schemas.openxmlformats.org/officeDocument/2006/relationships/externalLinkPath" Target="file:///G:\My%20Drive\DLL11706\DLL%2011706\DLL%2011706%20POSITION%20FILE%20JU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ERY"/>
      <sheetName val="04-05-2026"/>
      <sheetName val="05-05-2026"/>
      <sheetName val="06-05-2026"/>
      <sheetName val="07-05-2026"/>
      <sheetName val="08-05-2026"/>
      <sheetName val="11-05-2026"/>
      <sheetName val="12-05-2026"/>
      <sheetName val="13-05-2026"/>
      <sheetName val="14-05-2026"/>
      <sheetName val="15-05-2026"/>
      <sheetName val="18-05-2026"/>
      <sheetName val="19-05-2026"/>
      <sheetName val="20-05-2026"/>
      <sheetName val="21-05-2026"/>
      <sheetName val="22-05-2026"/>
      <sheetName val="25-05-2026"/>
      <sheetName val="26-05-2026"/>
      <sheetName val="27-05-2026"/>
      <sheetName val="29-05-2026"/>
    </sheetNames>
    <sheetDataSet>
      <sheetData sheetId="0">
        <row r="2">
          <cell r="A2">
            <v>46146</v>
          </cell>
          <cell r="B2">
            <v>1430</v>
          </cell>
          <cell r="C2">
            <v>22</v>
          </cell>
          <cell r="D2">
            <v>1238</v>
          </cell>
          <cell r="E2">
            <v>0.86573426573426571</v>
          </cell>
          <cell r="F2">
            <v>56.272727272727273</v>
          </cell>
          <cell r="G2">
            <v>159211</v>
          </cell>
        </row>
        <row r="3">
          <cell r="A3">
            <v>46147</v>
          </cell>
          <cell r="B3">
            <v>1820</v>
          </cell>
          <cell r="C3">
            <v>28</v>
          </cell>
          <cell r="D3">
            <v>23246</v>
          </cell>
          <cell r="E3">
            <v>12.772527472527473</v>
          </cell>
          <cell r="F3">
            <v>830.21428571428567</v>
          </cell>
          <cell r="G3">
            <v>287599</v>
          </cell>
        </row>
        <row r="4">
          <cell r="A4">
            <v>46148</v>
          </cell>
          <cell r="B4">
            <v>2730</v>
          </cell>
          <cell r="C4">
            <v>42</v>
          </cell>
          <cell r="D4">
            <v>-13730</v>
          </cell>
          <cell r="E4">
            <v>-5.0293040293040292</v>
          </cell>
          <cell r="F4">
            <v>-326.90476190476193</v>
          </cell>
          <cell r="G4">
            <v>467070.5</v>
          </cell>
        </row>
        <row r="5">
          <cell r="A5">
            <v>46149</v>
          </cell>
          <cell r="B5">
            <v>2860</v>
          </cell>
          <cell r="C5">
            <v>44</v>
          </cell>
          <cell r="D5">
            <v>45363</v>
          </cell>
          <cell r="E5">
            <v>15.861188811188811</v>
          </cell>
          <cell r="F5">
            <v>1030.9772727272727</v>
          </cell>
          <cell r="G5">
            <v>482761.5</v>
          </cell>
        </row>
        <row r="6">
          <cell r="A6">
            <v>46150</v>
          </cell>
          <cell r="B6">
            <v>1950</v>
          </cell>
          <cell r="C6">
            <v>30</v>
          </cell>
          <cell r="D6">
            <v>17156</v>
          </cell>
          <cell r="E6">
            <v>8.7979487179487172</v>
          </cell>
          <cell r="F6">
            <v>571.86666666666667</v>
          </cell>
          <cell r="G6">
            <v>399363.25</v>
          </cell>
        </row>
        <row r="7">
          <cell r="A7">
            <v>46153</v>
          </cell>
          <cell r="B7">
            <v>3250</v>
          </cell>
          <cell r="C7">
            <v>50</v>
          </cell>
          <cell r="D7">
            <v>-63606</v>
          </cell>
          <cell r="E7">
            <v>-19.571076923076923</v>
          </cell>
          <cell r="F7">
            <v>-1272.1199999999999</v>
          </cell>
          <cell r="G7">
            <v>620246.25</v>
          </cell>
        </row>
        <row r="8">
          <cell r="A8">
            <v>46154</v>
          </cell>
          <cell r="B8">
            <v>2925</v>
          </cell>
          <cell r="C8">
            <v>45</v>
          </cell>
          <cell r="D8">
            <v>-214994</v>
          </cell>
          <cell r="E8">
            <v>-73.502222222222215</v>
          </cell>
          <cell r="F8">
            <v>-4777.6444444444442</v>
          </cell>
          <cell r="G8">
            <v>757120</v>
          </cell>
        </row>
        <row r="9">
          <cell r="A9">
            <v>46155</v>
          </cell>
          <cell r="B9">
            <v>3315</v>
          </cell>
          <cell r="C9">
            <v>51</v>
          </cell>
          <cell r="D9">
            <v>33360</v>
          </cell>
          <cell r="E9">
            <v>10.063348416289593</v>
          </cell>
          <cell r="F9">
            <v>654.11764705882354</v>
          </cell>
          <cell r="G9">
            <v>1065629.5</v>
          </cell>
        </row>
        <row r="10">
          <cell r="A10">
            <v>46156</v>
          </cell>
          <cell r="B10">
            <v>1755</v>
          </cell>
          <cell r="C10">
            <v>27</v>
          </cell>
          <cell r="D10">
            <v>52179</v>
          </cell>
          <cell r="E10">
            <v>29.731623931623933</v>
          </cell>
          <cell r="F10">
            <v>1932.5555555555557</v>
          </cell>
          <cell r="G10">
            <v>840960.25</v>
          </cell>
        </row>
        <row r="11">
          <cell r="A11">
            <v>46157</v>
          </cell>
          <cell r="B11">
            <v>1755</v>
          </cell>
          <cell r="C11">
            <v>27</v>
          </cell>
          <cell r="D11">
            <v>11488</v>
          </cell>
          <cell r="E11">
            <v>6.5458689458689463</v>
          </cell>
          <cell r="F11">
            <v>425.48148148148147</v>
          </cell>
          <cell r="G11">
            <v>1058924.75</v>
          </cell>
        </row>
        <row r="12">
          <cell r="A12">
            <v>46160</v>
          </cell>
          <cell r="B12">
            <v>2990</v>
          </cell>
          <cell r="C12">
            <v>46</v>
          </cell>
          <cell r="D12">
            <v>6831</v>
          </cell>
          <cell r="E12">
            <v>2.2846153846153845</v>
          </cell>
          <cell r="F12">
            <v>148.5</v>
          </cell>
          <cell r="G12">
            <v>1180946</v>
          </cell>
        </row>
        <row r="13">
          <cell r="A13">
            <v>46161</v>
          </cell>
          <cell r="B13">
            <v>8905</v>
          </cell>
          <cell r="C13">
            <v>137</v>
          </cell>
          <cell r="D13">
            <v>41328</v>
          </cell>
          <cell r="E13">
            <v>4.6409882088714207</v>
          </cell>
          <cell r="F13">
            <v>301.66423357664235</v>
          </cell>
          <cell r="G13">
            <v>798476.25</v>
          </cell>
        </row>
        <row r="14">
          <cell r="A14">
            <v>46162</v>
          </cell>
          <cell r="B14">
            <v>2535</v>
          </cell>
          <cell r="C14">
            <v>39</v>
          </cell>
          <cell r="D14">
            <v>24067</v>
          </cell>
          <cell r="E14">
            <v>9.4938856015779098</v>
          </cell>
          <cell r="F14">
            <v>617.10256410256409</v>
          </cell>
          <cell r="G14">
            <v>747942</v>
          </cell>
        </row>
        <row r="15">
          <cell r="A15">
            <v>46163</v>
          </cell>
          <cell r="B15">
            <v>4095</v>
          </cell>
          <cell r="C15">
            <v>63</v>
          </cell>
          <cell r="D15">
            <v>31770</v>
          </cell>
          <cell r="E15">
            <v>7.7582417582417582</v>
          </cell>
          <cell r="F15">
            <v>504.28571428571428</v>
          </cell>
          <cell r="G15">
            <v>750616.75</v>
          </cell>
        </row>
        <row r="16">
          <cell r="A16">
            <v>46164</v>
          </cell>
          <cell r="B16">
            <v>4160</v>
          </cell>
          <cell r="C16">
            <v>64</v>
          </cell>
          <cell r="D16">
            <v>35263</v>
          </cell>
          <cell r="E16">
            <v>8.4766826923076923</v>
          </cell>
          <cell r="F16">
            <v>550.984375</v>
          </cell>
          <cell r="G16">
            <v>459072.25</v>
          </cell>
        </row>
        <row r="17">
          <cell r="A17">
            <v>46167</v>
          </cell>
          <cell r="B17">
            <v>5135</v>
          </cell>
          <cell r="C17">
            <v>79</v>
          </cell>
          <cell r="D17">
            <v>609</v>
          </cell>
          <cell r="E17">
            <v>0.11859785783836417</v>
          </cell>
          <cell r="F17">
            <v>7.7088607594936711</v>
          </cell>
          <cell r="G17">
            <v>590642</v>
          </cell>
        </row>
        <row r="18">
          <cell r="A18">
            <v>46168</v>
          </cell>
          <cell r="B18">
            <v>3900</v>
          </cell>
          <cell r="C18">
            <v>60</v>
          </cell>
          <cell r="D18">
            <v>35563</v>
          </cell>
          <cell r="E18">
            <v>9.1187179487179488</v>
          </cell>
          <cell r="F18">
            <v>592.7166666666667</v>
          </cell>
          <cell r="G18">
            <v>367237</v>
          </cell>
        </row>
        <row r="19">
          <cell r="A19">
            <v>46169</v>
          </cell>
          <cell r="B19">
            <v>0</v>
          </cell>
          <cell r="C19">
            <v>0</v>
          </cell>
          <cell r="D19">
            <v>16163</v>
          </cell>
          <cell r="E19" t="str">
            <v/>
          </cell>
          <cell r="F19" t="str">
            <v/>
          </cell>
          <cell r="G19">
            <v>230197.5</v>
          </cell>
        </row>
        <row r="20">
          <cell r="A20">
            <v>46171</v>
          </cell>
          <cell r="B20">
            <v>3865</v>
          </cell>
          <cell r="C20">
            <v>59.46153846153846</v>
          </cell>
          <cell r="D20">
            <v>25419</v>
          </cell>
          <cell r="E20">
            <v>6.576714100905563</v>
          </cell>
          <cell r="F20">
            <v>427.48641655886161</v>
          </cell>
          <cell r="G20">
            <v>485000.75</v>
          </cell>
        </row>
        <row r="21">
          <cell r="A21">
            <v>46174</v>
          </cell>
          <cell r="B21">
            <v>0</v>
          </cell>
          <cell r="C21">
            <v>0</v>
          </cell>
          <cell r="D21">
            <v>-24392</v>
          </cell>
          <cell r="E21" t="str">
            <v/>
          </cell>
          <cell r="F21" t="str">
            <v/>
          </cell>
          <cell r="G21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ERY"/>
      <sheetName val="01-06-2026"/>
      <sheetName val="02-06-2026"/>
      <sheetName val="03-06-2026"/>
      <sheetName val="04-06-2026"/>
      <sheetName val="05-06-2026"/>
      <sheetName val="08-06-2026"/>
      <sheetName val="09-06-2026"/>
      <sheetName val="Sheet1"/>
    </sheetNames>
    <sheetDataSet>
      <sheetData sheetId="0">
        <row r="2">
          <cell r="A2">
            <v>46174</v>
          </cell>
          <cell r="B2">
            <v>2730</v>
          </cell>
          <cell r="C2">
            <v>42</v>
          </cell>
          <cell r="D2">
            <v>-24392</v>
          </cell>
          <cell r="E2">
            <v>-8.934798534798535</v>
          </cell>
          <cell r="F2">
            <v>-580.76190476190482</v>
          </cell>
          <cell r="G2">
            <v>594772.75</v>
          </cell>
        </row>
        <row r="3">
          <cell r="A3">
            <v>46175</v>
          </cell>
          <cell r="B3">
            <v>9230</v>
          </cell>
          <cell r="C3">
            <v>142</v>
          </cell>
          <cell r="D3">
            <v>52803</v>
          </cell>
          <cell r="E3">
            <v>5.7208017334777894</v>
          </cell>
          <cell r="F3">
            <v>371.85211267605632</v>
          </cell>
          <cell r="G3">
            <v>517929.75</v>
          </cell>
        </row>
        <row r="4">
          <cell r="A4">
            <v>46176</v>
          </cell>
          <cell r="B4">
            <v>19630</v>
          </cell>
          <cell r="C4">
            <v>302</v>
          </cell>
          <cell r="D4">
            <v>16344</v>
          </cell>
          <cell r="E4">
            <v>0.83260315843097299</v>
          </cell>
          <cell r="F4">
            <v>54.119205298013242</v>
          </cell>
          <cell r="G4">
            <v>684086</v>
          </cell>
        </row>
        <row r="5">
          <cell r="A5">
            <v>46177</v>
          </cell>
          <cell r="B5">
            <v>7540</v>
          </cell>
          <cell r="C5">
            <v>116</v>
          </cell>
          <cell r="D5">
            <v>23424</v>
          </cell>
          <cell r="E5">
            <v>3.1066312997347478</v>
          </cell>
          <cell r="F5">
            <v>201.93103448275863</v>
          </cell>
          <cell r="G5">
            <v>626967.25</v>
          </cell>
        </row>
        <row r="6">
          <cell r="A6">
            <v>46178</v>
          </cell>
          <cell r="B6">
            <v>2015</v>
          </cell>
          <cell r="C6">
            <v>31</v>
          </cell>
          <cell r="D6">
            <v>-2660</v>
          </cell>
          <cell r="E6">
            <v>-1.3200992555831266</v>
          </cell>
          <cell r="F6">
            <v>-85.806451612903231</v>
          </cell>
          <cell r="G6">
            <v>595429.25</v>
          </cell>
        </row>
        <row r="7">
          <cell r="A7">
            <v>46181</v>
          </cell>
          <cell r="B7">
            <v>7280</v>
          </cell>
          <cell r="C7">
            <v>112</v>
          </cell>
          <cell r="D7">
            <v>-56253</v>
          </cell>
          <cell r="E7">
            <v>-7.7270604395604394</v>
          </cell>
          <cell r="F7">
            <v>-502.25892857142856</v>
          </cell>
          <cell r="G7">
            <v>700758.5</v>
          </cell>
        </row>
        <row r="8">
          <cell r="A8">
            <v>46182</v>
          </cell>
          <cell r="B8">
            <v>7345</v>
          </cell>
          <cell r="C8">
            <v>113</v>
          </cell>
          <cell r="D8">
            <v>59594</v>
          </cell>
          <cell r="E8">
            <v>8.1135466303607888</v>
          </cell>
          <cell r="F8">
            <v>527.3805309734513</v>
          </cell>
          <cell r="G8">
            <v>471760.25</v>
          </cell>
        </row>
        <row r="9">
          <cell r="A9">
            <v>46183</v>
          </cell>
          <cell r="B9"/>
          <cell r="C9">
            <v>0</v>
          </cell>
          <cell r="D9">
            <v>3548</v>
          </cell>
          <cell r="E9" t="str">
            <v/>
          </cell>
          <cell r="F9" t="str">
            <v/>
          </cell>
          <cell r="G9" t="str">
            <v/>
          </cell>
        </row>
        <row r="10">
          <cell r="A10">
            <v>46184</v>
          </cell>
          <cell r="B10"/>
          <cell r="C10">
            <v>0</v>
          </cell>
          <cell r="D10">
            <v>-181121</v>
          </cell>
          <cell r="E10" t="str">
            <v/>
          </cell>
          <cell r="F10" t="str">
            <v/>
          </cell>
          <cell r="G10" t="str">
            <v/>
          </cell>
        </row>
        <row r="11">
          <cell r="A11">
            <v>46185</v>
          </cell>
          <cell r="B11"/>
          <cell r="C11">
            <v>0</v>
          </cell>
          <cell r="D11" t="str">
            <v/>
          </cell>
          <cell r="E11" t="str">
            <v/>
          </cell>
          <cell r="F11" t="str">
            <v/>
          </cell>
          <cell r="G11" t="str">
            <v/>
          </cell>
        </row>
        <row r="12">
          <cell r="A12">
            <v>46188</v>
          </cell>
          <cell r="B12"/>
          <cell r="C12">
            <v>0</v>
          </cell>
          <cell r="D12" t="str">
            <v/>
          </cell>
          <cell r="E12" t="str">
            <v/>
          </cell>
          <cell r="F12" t="str">
            <v/>
          </cell>
          <cell r="G12" t="str">
            <v/>
          </cell>
        </row>
        <row r="13">
          <cell r="A13">
            <v>46189</v>
          </cell>
          <cell r="B13"/>
          <cell r="C13">
            <v>0</v>
          </cell>
          <cell r="D13" t="str">
            <v/>
          </cell>
          <cell r="E13" t="str">
            <v/>
          </cell>
          <cell r="F13" t="str">
            <v/>
          </cell>
          <cell r="G13" t="str">
            <v/>
          </cell>
        </row>
        <row r="14">
          <cell r="A14">
            <v>46190</v>
          </cell>
          <cell r="B14"/>
          <cell r="C14">
            <v>0</v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</row>
        <row r="15">
          <cell r="A15">
            <v>46191</v>
          </cell>
          <cell r="B15"/>
          <cell r="C15">
            <v>0</v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</row>
        <row r="16">
          <cell r="A16">
            <v>46192</v>
          </cell>
          <cell r="B16"/>
          <cell r="C16">
            <v>0</v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</row>
        <row r="17">
          <cell r="A17">
            <v>46195</v>
          </cell>
          <cell r="B17"/>
          <cell r="C17">
            <v>0</v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</row>
        <row r="18">
          <cell r="A18">
            <v>46196</v>
          </cell>
          <cell r="B18"/>
          <cell r="C18">
            <v>0</v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</row>
        <row r="19">
          <cell r="A19">
            <v>46197</v>
          </cell>
          <cell r="B19"/>
          <cell r="C19">
            <v>0</v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</row>
        <row r="20">
          <cell r="A20">
            <v>46198</v>
          </cell>
          <cell r="B20"/>
          <cell r="C20">
            <v>0</v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</row>
        <row r="21">
          <cell r="A21">
            <v>46199</v>
          </cell>
          <cell r="B21"/>
          <cell r="C21">
            <v>0</v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FC614-980D-454B-AA86-D2DD498A89DD}">
  <dimension ref="A1:T63"/>
  <sheetViews>
    <sheetView zoomScale="115" zoomScaleNormal="115" workbookViewId="0">
      <pane ySplit="1" topLeftCell="A2" activePane="bottomLeft" state="frozen"/>
      <selection pane="bottomLeft" activeCell="B29" sqref="B29"/>
    </sheetView>
  </sheetViews>
  <sheetFormatPr defaultColWidth="9.1796875" defaultRowHeight="14" x14ac:dyDescent="0.3"/>
  <cols>
    <col min="1" max="1" width="11.54296875" style="10" bestFit="1" customWidth="1"/>
    <col min="2" max="2" width="10.54296875" style="7" bestFit="1" customWidth="1"/>
    <col min="3" max="3" width="18.1796875" style="7" bestFit="1" customWidth="1"/>
    <col min="4" max="4" width="17.453125" style="7" customWidth="1"/>
    <col min="5" max="5" width="20.7265625" style="7" bestFit="1" customWidth="1"/>
    <col min="6" max="6" width="27.453125" style="7" bestFit="1" customWidth="1"/>
    <col min="7" max="7" width="17.453125" style="7" bestFit="1" customWidth="1"/>
    <col min="8" max="8" width="24.81640625" style="7" bestFit="1" customWidth="1"/>
    <col min="9" max="9" width="28.7265625" style="7" bestFit="1" customWidth="1"/>
    <col min="10" max="10" width="35.1796875" style="7" bestFit="1" customWidth="1"/>
    <col min="11" max="11" width="28.7265625" style="7" bestFit="1" customWidth="1"/>
    <col min="12" max="12" width="29.1796875" style="7" bestFit="1" customWidth="1"/>
    <col min="13" max="13" width="26.26953125" style="9" bestFit="1" customWidth="1"/>
    <col min="14" max="15" width="20.54296875" style="7" customWidth="1"/>
    <col min="16" max="16" width="15.81640625" style="9" bestFit="1" customWidth="1"/>
    <col min="17" max="17" width="15.81640625" style="9" customWidth="1"/>
    <col min="18" max="18" width="20.26953125" style="9" bestFit="1" customWidth="1"/>
    <col min="19" max="19" width="25.54296875" style="9" bestFit="1" customWidth="1"/>
    <col min="20" max="20" width="36" style="9" bestFit="1" customWidth="1"/>
    <col min="21" max="16384" width="9.1796875" style="9"/>
  </cols>
  <sheetData>
    <row r="1" spans="1:20" s="2" customFormat="1" ht="15.5" x14ac:dyDescent="0.35">
      <c r="A1" s="1" t="s">
        <v>0</v>
      </c>
      <c r="B1" s="6" t="s">
        <v>8</v>
      </c>
      <c r="C1" s="6" t="s">
        <v>10</v>
      </c>
      <c r="D1" s="6" t="s">
        <v>22</v>
      </c>
      <c r="E1" s="6" t="s">
        <v>23</v>
      </c>
      <c r="F1" s="6" t="s">
        <v>24</v>
      </c>
      <c r="G1" s="6" t="s">
        <v>5</v>
      </c>
      <c r="H1" s="6" t="s">
        <v>6</v>
      </c>
      <c r="I1" s="6" t="s">
        <v>9</v>
      </c>
      <c r="J1" s="6" t="s">
        <v>14</v>
      </c>
      <c r="K1" s="6" t="s">
        <v>25</v>
      </c>
      <c r="L1" s="6" t="s">
        <v>12</v>
      </c>
      <c r="M1" s="5" t="s">
        <v>3</v>
      </c>
      <c r="N1" s="6" t="s">
        <v>1</v>
      </c>
      <c r="O1" s="6" t="s">
        <v>7</v>
      </c>
      <c r="P1" s="5" t="s">
        <v>2</v>
      </c>
      <c r="Q1" s="5" t="s">
        <v>13</v>
      </c>
      <c r="R1" s="5" t="s">
        <v>4</v>
      </c>
      <c r="S1" s="2" t="s">
        <v>28</v>
      </c>
      <c r="T1" s="2" t="s">
        <v>29</v>
      </c>
    </row>
    <row r="2" spans="1:20" ht="15.5" x14ac:dyDescent="0.35">
      <c r="A2" s="3">
        <v>46146</v>
      </c>
      <c r="B2" s="7">
        <v>1238</v>
      </c>
      <c r="C2" s="4">
        <v>1238</v>
      </c>
      <c r="D2" s="7">
        <v>660</v>
      </c>
      <c r="E2" s="7">
        <v>660</v>
      </c>
      <c r="F2" s="7">
        <v>493</v>
      </c>
      <c r="G2" s="7">
        <f>IFERROR(VLOOKUP(A2,[1]SUMMERY!$A$2:$G$21,7,FALSE),"")</f>
        <v>159211</v>
      </c>
      <c r="H2" s="11">
        <f t="shared" ref="H2:H36" si="0">G2*100/N2</f>
        <v>20.310582460115171</v>
      </c>
      <c r="I2" s="11">
        <f>(C2-SUM($F$2:F2))*100/P2</f>
        <v>5.7707203718048022E-2</v>
      </c>
      <c r="J2" s="11">
        <f>(C2-SUM($F$2:F2))*100/Q2</f>
        <v>1.5520833333333333E-2</v>
      </c>
      <c r="K2" s="13">
        <f>(B2-F2)*100/P2</f>
        <v>5.7707203718048022E-2</v>
      </c>
      <c r="L2" s="12">
        <f>C2*100/P2</f>
        <v>9.5894655305964374E-2</v>
      </c>
      <c r="M2" s="8">
        <f t="shared" ref="M2:M39" si="1">B2*100/O2</f>
        <v>0.12582809727182731</v>
      </c>
      <c r="N2" s="7">
        <v>783882</v>
      </c>
      <c r="O2" s="7">
        <f>N2+200000</f>
        <v>983882</v>
      </c>
      <c r="P2" s="4">
        <v>1291000</v>
      </c>
      <c r="Q2" s="4">
        <v>4800000</v>
      </c>
      <c r="R2" s="4">
        <f t="shared" ref="R2:R38" si="2">P2+C2</f>
        <v>1292238</v>
      </c>
      <c r="S2" s="13">
        <f t="shared" ref="S2:S48" si="3">C2*100/Q2</f>
        <v>2.5791666666666668E-2</v>
      </c>
      <c r="T2" s="13">
        <f>B2*100/Q2</f>
        <v>2.5791666666666668E-2</v>
      </c>
    </row>
    <row r="3" spans="1:20" ht="15.5" x14ac:dyDescent="0.35">
      <c r="A3" s="3">
        <f>WORKDAY(A2,1)</f>
        <v>46147</v>
      </c>
      <c r="B3" s="7">
        <f t="shared" ref="B3:B52" si="4">IFERROR(IF(C3&lt;&gt;C2,C3-C2,""),"")</f>
        <v>23246</v>
      </c>
      <c r="C3" s="4">
        <v>24484</v>
      </c>
      <c r="D3" s="7">
        <f>IF(OR(E2="",E3=""),"",E3-E2)</f>
        <v>469</v>
      </c>
      <c r="E3" s="7">
        <v>1129</v>
      </c>
      <c r="F3" s="7">
        <v>493</v>
      </c>
      <c r="G3" s="7">
        <f>IFERROR(VLOOKUP(A3,[1]SUMMERY!$A$2:$G$21,7,FALSE),"")</f>
        <v>287599</v>
      </c>
      <c r="H3" s="11">
        <f t="shared" si="0"/>
        <v>19.740300210101768</v>
      </c>
      <c r="I3" s="11">
        <f>(C3-SUM($F$2:F3))*100/P3</f>
        <v>1.8201394268009294</v>
      </c>
      <c r="J3" s="11">
        <f>(C3-SUM($F$2:F3))*100/Q3</f>
        <v>0.48954166666666665</v>
      </c>
      <c r="K3" s="13">
        <f t="shared" ref="K3:K63" si="5">(B3-F3)*100/P3</f>
        <v>1.7624322230828815</v>
      </c>
      <c r="L3" s="13">
        <f>(C3-SUM($F$2:F3))*100/P3</f>
        <v>1.8201394268009294</v>
      </c>
      <c r="M3" s="8">
        <f t="shared" si="1"/>
        <v>1.4029704637479457</v>
      </c>
      <c r="N3" s="7">
        <v>1456913</v>
      </c>
      <c r="O3" s="7">
        <f t="shared" ref="O3:O28" si="6">N3+200000</f>
        <v>1656913</v>
      </c>
      <c r="P3" s="4">
        <v>1291000</v>
      </c>
      <c r="Q3" s="4">
        <v>4800000</v>
      </c>
      <c r="R3" s="4">
        <f t="shared" si="2"/>
        <v>1315484</v>
      </c>
      <c r="S3" s="13">
        <f t="shared" si="3"/>
        <v>0.51008333333333333</v>
      </c>
      <c r="T3" s="13">
        <f t="shared" ref="T3:T62" si="7">B3*100/Q3</f>
        <v>0.48429166666666668</v>
      </c>
    </row>
    <row r="4" spans="1:20" ht="15.5" x14ac:dyDescent="0.35">
      <c r="A4" s="3">
        <f t="shared" ref="A4:A37" si="8">WORKDAY(A3,1)</f>
        <v>46148</v>
      </c>
      <c r="B4" s="7">
        <f t="shared" si="4"/>
        <v>-13730</v>
      </c>
      <c r="C4" s="4">
        <v>10754</v>
      </c>
      <c r="D4" s="7">
        <f t="shared" ref="D4:D51" si="9">IF(OR(E3="",E4=""),"",E4-E3)</f>
        <v>886</v>
      </c>
      <c r="E4" s="7">
        <v>2015</v>
      </c>
      <c r="F4" s="7">
        <v>493</v>
      </c>
      <c r="G4" s="7">
        <f>IFERROR(VLOOKUP(A4,[1]SUMMERY!$A$2:$G$21,7,FALSE),"")</f>
        <v>467070.5</v>
      </c>
      <c r="H4" s="11">
        <f t="shared" si="0"/>
        <v>24.989045535795015</v>
      </c>
      <c r="I4" s="11">
        <f>(C4-SUM($F$2:F4))*100/P4</f>
        <v>0.71843532145623545</v>
      </c>
      <c r="J4" s="11">
        <f>(C4-SUM($F$2:F4))*100/Q4</f>
        <v>0.19322916666666667</v>
      </c>
      <c r="K4" s="13">
        <f t="shared" si="5"/>
        <v>-1.1017041053446941</v>
      </c>
      <c r="L4" s="13">
        <f>(C4-SUM($F$2:F4))*100/P4</f>
        <v>0.71843532145623545</v>
      </c>
      <c r="M4" s="8">
        <f t="shared" si="1"/>
        <v>-0.66357321368072419</v>
      </c>
      <c r="N4" s="7">
        <v>1869101</v>
      </c>
      <c r="O4" s="7">
        <f t="shared" si="6"/>
        <v>2069101</v>
      </c>
      <c r="P4" s="4">
        <v>1291000</v>
      </c>
      <c r="Q4" s="4">
        <v>4800000</v>
      </c>
      <c r="R4" s="4">
        <f t="shared" si="2"/>
        <v>1301754</v>
      </c>
      <c r="S4" s="13">
        <f t="shared" si="3"/>
        <v>0.22404166666666667</v>
      </c>
      <c r="T4" s="13">
        <f t="shared" si="7"/>
        <v>-0.28604166666666669</v>
      </c>
    </row>
    <row r="5" spans="1:20" ht="15.5" x14ac:dyDescent="0.35">
      <c r="A5" s="3">
        <f t="shared" si="8"/>
        <v>46149</v>
      </c>
      <c r="B5" s="7">
        <f t="shared" si="4"/>
        <v>45363</v>
      </c>
      <c r="C5" s="4">
        <v>56117</v>
      </c>
      <c r="D5" s="7">
        <f t="shared" si="9"/>
        <v>901</v>
      </c>
      <c r="E5" s="7">
        <v>2916</v>
      </c>
      <c r="F5" s="7">
        <v>493</v>
      </c>
      <c r="G5" s="7">
        <f>IFERROR(VLOOKUP(A5,[1]SUMMERY!$A$2:$G$21,7,FALSE),"")</f>
        <v>482761.5</v>
      </c>
      <c r="H5" s="11">
        <f t="shared" si="0"/>
        <v>21.571199347986653</v>
      </c>
      <c r="I5" s="11">
        <f>(C5-SUM($F$2:F5))*100/P5</f>
        <v>4.1940356312935707</v>
      </c>
      <c r="J5" s="11">
        <f>(C5-SUM($F$2:F5))*100/Q5</f>
        <v>1.1280208333333333</v>
      </c>
      <c r="K5" s="13">
        <f t="shared" si="5"/>
        <v>3.4756003098373354</v>
      </c>
      <c r="L5" s="13">
        <f>(C5-SUM($F$2:F5))*100/P5</f>
        <v>4.1940356312935707</v>
      </c>
      <c r="M5" s="8">
        <f t="shared" si="1"/>
        <v>1.8606713478433679</v>
      </c>
      <c r="N5" s="7">
        <v>2237991</v>
      </c>
      <c r="O5" s="7">
        <f t="shared" si="6"/>
        <v>2437991</v>
      </c>
      <c r="P5" s="4">
        <v>1291000</v>
      </c>
      <c r="Q5" s="4">
        <v>4800000</v>
      </c>
      <c r="R5" s="4">
        <f t="shared" si="2"/>
        <v>1347117</v>
      </c>
      <c r="S5" s="13">
        <f t="shared" si="3"/>
        <v>1.1691041666666666</v>
      </c>
      <c r="T5" s="13">
        <f t="shared" si="7"/>
        <v>0.94506250000000003</v>
      </c>
    </row>
    <row r="6" spans="1:20" ht="15.5" x14ac:dyDescent="0.35">
      <c r="A6" s="3">
        <f t="shared" si="8"/>
        <v>46150</v>
      </c>
      <c r="B6" s="7">
        <f t="shared" si="4"/>
        <v>17156</v>
      </c>
      <c r="C6" s="4">
        <v>73273</v>
      </c>
      <c r="D6" s="7">
        <f t="shared" si="9"/>
        <v>397</v>
      </c>
      <c r="E6" s="7">
        <v>3313</v>
      </c>
      <c r="F6" s="7">
        <v>493</v>
      </c>
      <c r="G6" s="7">
        <f>IFERROR(VLOOKUP(A6,[1]SUMMERY!$A$2:$G$21,7,FALSE),"")</f>
        <v>399363.25</v>
      </c>
      <c r="H6" s="11">
        <f t="shared" si="0"/>
        <v>21.49840661368636</v>
      </c>
      <c r="I6" s="11">
        <f>(C6-SUM($F$2:F6))*100/P6</f>
        <v>5.4847405112316032</v>
      </c>
      <c r="J6" s="11">
        <f>(C6-SUM($F$2:F6))*100/Q6</f>
        <v>1.4751666666666667</v>
      </c>
      <c r="K6" s="13">
        <f t="shared" si="5"/>
        <v>1.2907048799380325</v>
      </c>
      <c r="L6" s="13">
        <f>(C6-SUM($F$2:F6))*100/P6</f>
        <v>5.4847405112316032</v>
      </c>
      <c r="M6" s="8">
        <f t="shared" si="1"/>
        <v>0.83377025758952061</v>
      </c>
      <c r="N6" s="7">
        <v>1857641.16</v>
      </c>
      <c r="O6" s="7">
        <f t="shared" si="6"/>
        <v>2057641.16</v>
      </c>
      <c r="P6" s="4">
        <v>1291000</v>
      </c>
      <c r="Q6" s="4">
        <v>4800000</v>
      </c>
      <c r="R6" s="4">
        <f t="shared" si="2"/>
        <v>1364273</v>
      </c>
      <c r="S6" s="13">
        <f t="shared" si="3"/>
        <v>1.5265208333333333</v>
      </c>
      <c r="T6" s="13">
        <f t="shared" si="7"/>
        <v>0.35741666666666666</v>
      </c>
    </row>
    <row r="7" spans="1:20" ht="15.5" x14ac:dyDescent="0.35">
      <c r="A7" s="3">
        <f t="shared" si="8"/>
        <v>46153</v>
      </c>
      <c r="B7" s="7">
        <f t="shared" si="4"/>
        <v>-63606</v>
      </c>
      <c r="C7" s="4">
        <v>9667</v>
      </c>
      <c r="D7" s="7">
        <f t="shared" si="9"/>
        <v>1088</v>
      </c>
      <c r="E7" s="7">
        <v>4401</v>
      </c>
      <c r="F7" s="7">
        <v>493</v>
      </c>
      <c r="G7" s="7">
        <f>IFERROR(VLOOKUP(A7,[1]SUMMERY!$A$2:$G$21,7,FALSE),"")</f>
        <v>620246.25</v>
      </c>
      <c r="H7" s="11">
        <f t="shared" si="0"/>
        <v>21.033588835191637</v>
      </c>
      <c r="I7" s="11">
        <f>(C7-SUM($F$2:F7))*100/P7</f>
        <v>0.51967467079783114</v>
      </c>
      <c r="J7" s="11">
        <f>(C7-SUM($F$2:F7))*100/Q7</f>
        <v>0.13977083333333334</v>
      </c>
      <c r="K7" s="13">
        <f t="shared" si="5"/>
        <v>-4.9650658404337724</v>
      </c>
      <c r="L7" s="13">
        <f>(C7-SUM($F$2:F7))*100/P7</f>
        <v>0.51967467079783114</v>
      </c>
      <c r="M7" s="8">
        <f t="shared" si="1"/>
        <v>-2.0199838861141433</v>
      </c>
      <c r="N7" s="7">
        <v>2948837</v>
      </c>
      <c r="O7" s="7">
        <f t="shared" si="6"/>
        <v>3148837</v>
      </c>
      <c r="P7" s="4">
        <v>1291000</v>
      </c>
      <c r="Q7" s="4">
        <v>4800000</v>
      </c>
      <c r="R7" s="4">
        <f t="shared" si="2"/>
        <v>1300667</v>
      </c>
      <c r="S7" s="13">
        <f t="shared" si="3"/>
        <v>0.20139583333333333</v>
      </c>
      <c r="T7" s="13">
        <f t="shared" si="7"/>
        <v>-1.3251250000000001</v>
      </c>
    </row>
    <row r="8" spans="1:20" ht="15.5" x14ac:dyDescent="0.35">
      <c r="A8" s="3">
        <f t="shared" si="8"/>
        <v>46154</v>
      </c>
      <c r="B8" s="7">
        <f t="shared" si="4"/>
        <v>-214994</v>
      </c>
      <c r="C8" s="4">
        <v>-205327</v>
      </c>
      <c r="D8" s="7">
        <f t="shared" si="9"/>
        <v>1346</v>
      </c>
      <c r="E8" s="7">
        <v>5747</v>
      </c>
      <c r="F8" s="7">
        <v>493</v>
      </c>
      <c r="G8" s="7">
        <f>IFERROR(VLOOKUP(A8,[1]SUMMERY!$A$2:$G$21,7,FALSE),"")</f>
        <v>757120</v>
      </c>
      <c r="H8" s="11">
        <f t="shared" si="0"/>
        <v>42.022954106218521</v>
      </c>
      <c r="I8" s="11">
        <f>(C8-SUM($F$2:F8))*100/P8</f>
        <v>-16.1718048024787</v>
      </c>
      <c r="J8" s="11">
        <f>(C8-SUM($F$2:F8))*100/Q8</f>
        <v>-4.3495416666666671</v>
      </c>
      <c r="K8" s="13">
        <f t="shared" si="5"/>
        <v>-16.69147947327653</v>
      </c>
      <c r="L8" s="13">
        <f>(C8-SUM($F$2:F8))*100/P8</f>
        <v>-16.1718048024787</v>
      </c>
      <c r="M8" s="8">
        <f t="shared" si="1"/>
        <v>-10.740667098969766</v>
      </c>
      <c r="N8" s="7">
        <v>1801682</v>
      </c>
      <c r="O8" s="7">
        <f t="shared" si="6"/>
        <v>2001682</v>
      </c>
      <c r="P8" s="4">
        <v>1291000</v>
      </c>
      <c r="Q8" s="4">
        <v>4800000</v>
      </c>
      <c r="R8" s="4">
        <f t="shared" si="2"/>
        <v>1085673</v>
      </c>
      <c r="S8" s="13">
        <f t="shared" si="3"/>
        <v>-4.2776458333333336</v>
      </c>
      <c r="T8" s="13">
        <f t="shared" si="7"/>
        <v>-4.4790416666666664</v>
      </c>
    </row>
    <row r="9" spans="1:20" ht="15.5" x14ac:dyDescent="0.35">
      <c r="A9" s="3">
        <f t="shared" si="8"/>
        <v>46155</v>
      </c>
      <c r="B9" s="7">
        <f t="shared" si="4"/>
        <v>33360</v>
      </c>
      <c r="C9" s="4">
        <v>-171967</v>
      </c>
      <c r="D9" s="7">
        <f t="shared" si="9"/>
        <v>1733</v>
      </c>
      <c r="E9" s="7">
        <v>7480</v>
      </c>
      <c r="F9" s="7">
        <v>493</v>
      </c>
      <c r="G9" s="7">
        <f>IFERROR(VLOOKUP(A9,[1]SUMMERY!$A$2:$G$21,7,FALSE),"")</f>
        <v>1065629.5</v>
      </c>
      <c r="H9" s="11">
        <f t="shared" si="0"/>
        <v>41.529353261363063</v>
      </c>
      <c r="I9" s="11">
        <f>(C9-SUM($F$2:F9))*100/P9</f>
        <v>-13.62594887683966</v>
      </c>
      <c r="J9" s="11">
        <f>(C9-SUM($F$2:F9))*100/Q9</f>
        <v>-3.6648125</v>
      </c>
      <c r="K9" s="13">
        <f t="shared" si="5"/>
        <v>2.5458559256390396</v>
      </c>
      <c r="L9" s="13">
        <f>(C9-SUM($F$2:F9))*100/P9</f>
        <v>-13.62594887683966</v>
      </c>
      <c r="M9" s="8">
        <f t="shared" si="1"/>
        <v>1.2060881420494172</v>
      </c>
      <c r="N9" s="7">
        <v>2565967</v>
      </c>
      <c r="O9" s="7">
        <f t="shared" si="6"/>
        <v>2765967</v>
      </c>
      <c r="P9" s="4">
        <v>1291000</v>
      </c>
      <c r="Q9" s="4">
        <v>4800000</v>
      </c>
      <c r="R9" s="4">
        <f t="shared" si="2"/>
        <v>1119033</v>
      </c>
      <c r="S9" s="13">
        <f t="shared" si="3"/>
        <v>-3.5826458333333333</v>
      </c>
      <c r="T9" s="13">
        <f t="shared" si="7"/>
        <v>0.69499999999999995</v>
      </c>
    </row>
    <row r="10" spans="1:20" ht="15.5" x14ac:dyDescent="0.35">
      <c r="A10" s="3">
        <f t="shared" si="8"/>
        <v>46156</v>
      </c>
      <c r="B10" s="7">
        <f t="shared" si="4"/>
        <v>52179</v>
      </c>
      <c r="C10" s="4">
        <v>-119788</v>
      </c>
      <c r="D10" s="7">
        <f t="shared" si="9"/>
        <v>579</v>
      </c>
      <c r="E10" s="7">
        <v>8059</v>
      </c>
      <c r="F10" s="7">
        <v>493</v>
      </c>
      <c r="G10" s="7">
        <f>IFERROR(VLOOKUP(A10,[1]SUMMERY!$A$2:$G$21,7,FALSE),"")</f>
        <v>840960.25</v>
      </c>
      <c r="H10" s="11">
        <f t="shared" si="0"/>
        <v>41.797810804524119</v>
      </c>
      <c r="I10" s="11">
        <f>(C10-SUM($F$2:F10))*100/P10</f>
        <v>-9.6223857474825714</v>
      </c>
      <c r="J10" s="11">
        <f>(C10-SUM($F$2:F10))*100/Q10</f>
        <v>-2.5880208333333332</v>
      </c>
      <c r="K10" s="13">
        <f t="shared" si="5"/>
        <v>4.0035631293570875</v>
      </c>
      <c r="L10" s="13">
        <f>(C10-SUM($F$2:F10))*100/P10</f>
        <v>-9.6223857474825714</v>
      </c>
      <c r="M10" s="8">
        <f t="shared" si="1"/>
        <v>2.3589358273974534</v>
      </c>
      <c r="N10" s="7">
        <v>2011972</v>
      </c>
      <c r="O10" s="7">
        <f t="shared" si="6"/>
        <v>2211972</v>
      </c>
      <c r="P10" s="4">
        <v>1291000</v>
      </c>
      <c r="Q10" s="4">
        <v>4800000</v>
      </c>
      <c r="R10" s="4">
        <f t="shared" si="2"/>
        <v>1171212</v>
      </c>
      <c r="S10" s="13">
        <f t="shared" si="3"/>
        <v>-2.4955833333333333</v>
      </c>
      <c r="T10" s="13">
        <f t="shared" si="7"/>
        <v>1.0870625</v>
      </c>
    </row>
    <row r="11" spans="1:20" ht="15.5" x14ac:dyDescent="0.35">
      <c r="A11" s="3">
        <f t="shared" si="8"/>
        <v>46157</v>
      </c>
      <c r="B11" s="7">
        <f t="shared" si="4"/>
        <v>11488</v>
      </c>
      <c r="C11" s="4">
        <v>-108300</v>
      </c>
      <c r="D11" s="7">
        <f t="shared" si="9"/>
        <v>815</v>
      </c>
      <c r="E11" s="7">
        <v>8874</v>
      </c>
      <c r="F11" s="7">
        <v>493</v>
      </c>
      <c r="G11" s="7">
        <f>IFERROR(VLOOKUP(A11,[1]SUMMERY!$A$2:$G$21,7,FALSE),"")</f>
        <v>1058924.75</v>
      </c>
      <c r="H11" s="11">
        <f t="shared" si="0"/>
        <v>37.067359223287376</v>
      </c>
      <c r="I11" s="11">
        <f>(C11-SUM($F$2:F11))*100/P11</f>
        <v>-8.7707203718048028</v>
      </c>
      <c r="J11" s="11">
        <f>(C11-SUM($F$2:F11))*100/Q11</f>
        <v>-2.3589583333333333</v>
      </c>
      <c r="K11" s="13">
        <f t="shared" si="5"/>
        <v>0.85166537567776912</v>
      </c>
      <c r="L11" s="13">
        <f>(C11-SUM($F$2:F11))*100/P11</f>
        <v>-8.7707203718048028</v>
      </c>
      <c r="M11" s="8">
        <f t="shared" si="1"/>
        <v>0.37582301248577743</v>
      </c>
      <c r="N11" s="7">
        <v>2856758</v>
      </c>
      <c r="O11" s="7">
        <f t="shared" si="6"/>
        <v>3056758</v>
      </c>
      <c r="P11" s="4">
        <v>1291000</v>
      </c>
      <c r="Q11" s="4">
        <v>4800000</v>
      </c>
      <c r="R11" s="4">
        <f t="shared" si="2"/>
        <v>1182700</v>
      </c>
      <c r="S11" s="13">
        <f t="shared" si="3"/>
        <v>-2.2562500000000001</v>
      </c>
      <c r="T11" s="13">
        <f t="shared" si="7"/>
        <v>0.23933333333333334</v>
      </c>
    </row>
    <row r="12" spans="1:20" ht="15.5" x14ac:dyDescent="0.35">
      <c r="A12" s="3">
        <f t="shared" si="8"/>
        <v>46160</v>
      </c>
      <c r="B12" s="7">
        <f t="shared" si="4"/>
        <v>6831</v>
      </c>
      <c r="C12" s="4">
        <v>-101469</v>
      </c>
      <c r="D12" s="7">
        <f t="shared" si="9"/>
        <v>1034</v>
      </c>
      <c r="E12" s="7">
        <v>9908</v>
      </c>
      <c r="F12" s="7">
        <v>493</v>
      </c>
      <c r="G12" s="7">
        <f>IFERROR(VLOOKUP(A12,[1]SUMMERY!$A$2:$G$21,7,FALSE),"")</f>
        <v>1180946</v>
      </c>
      <c r="H12" s="11">
        <f t="shared" si="0"/>
        <v>42.998513370381957</v>
      </c>
      <c r="I12" s="11">
        <f>(C12-SUM($F$2:F12))*100/P12</f>
        <v>-8.2797831138652214</v>
      </c>
      <c r="J12" s="11">
        <f>(C12-SUM($F$2:F12))*100/Q12</f>
        <v>-2.2269166666666669</v>
      </c>
      <c r="K12" s="13">
        <f t="shared" si="5"/>
        <v>0.49093725793958171</v>
      </c>
      <c r="L12" s="13">
        <f>(C12-SUM($F$2:F12))*100/P12</f>
        <v>-8.2797831138652214</v>
      </c>
      <c r="M12" s="8">
        <f t="shared" si="1"/>
        <v>0.23183587472649578</v>
      </c>
      <c r="N12" s="7">
        <v>2746481</v>
      </c>
      <c r="O12" s="7">
        <f t="shared" si="6"/>
        <v>2946481</v>
      </c>
      <c r="P12" s="4">
        <v>1291000</v>
      </c>
      <c r="Q12" s="4">
        <v>4800000</v>
      </c>
      <c r="R12" s="4">
        <f t="shared" si="2"/>
        <v>1189531</v>
      </c>
      <c r="S12" s="13">
        <f t="shared" si="3"/>
        <v>-2.1139375</v>
      </c>
      <c r="T12" s="13">
        <f t="shared" si="7"/>
        <v>0.14231250000000001</v>
      </c>
    </row>
    <row r="13" spans="1:20" ht="15.5" x14ac:dyDescent="0.35">
      <c r="A13" s="3">
        <f t="shared" si="8"/>
        <v>46161</v>
      </c>
      <c r="B13" s="7">
        <f t="shared" si="4"/>
        <v>41328</v>
      </c>
      <c r="C13" s="4">
        <v>-60141</v>
      </c>
      <c r="D13" s="7">
        <f t="shared" si="9"/>
        <v>870</v>
      </c>
      <c r="E13" s="7">
        <v>10778</v>
      </c>
      <c r="F13" s="7">
        <v>493</v>
      </c>
      <c r="G13" s="7">
        <f>IFERROR(VLOOKUP(A13,[1]SUMMERY!$A$2:$G$21,7,FALSE),"")</f>
        <v>798476.25</v>
      </c>
      <c r="H13" s="11">
        <f t="shared" si="0"/>
        <v>44.035421856447421</v>
      </c>
      <c r="I13" s="11">
        <f>(C13-SUM($F$2:F13))*100/P13</f>
        <v>-5.1167312161115417</v>
      </c>
      <c r="J13" s="11">
        <f>(C13-SUM($F$2:F13))*100/Q13</f>
        <v>-1.3761874999999999</v>
      </c>
      <c r="K13" s="13">
        <f t="shared" si="5"/>
        <v>3.1630518977536792</v>
      </c>
      <c r="L13" s="13">
        <f>(C13-SUM($F$2:F13))*100/P13</f>
        <v>-5.1167312161115417</v>
      </c>
      <c r="M13" s="8">
        <f t="shared" si="1"/>
        <v>2.0527910219201804</v>
      </c>
      <c r="N13" s="7">
        <v>1813259</v>
      </c>
      <c r="O13" s="7">
        <f t="shared" si="6"/>
        <v>2013259</v>
      </c>
      <c r="P13" s="4">
        <v>1291000</v>
      </c>
      <c r="Q13" s="4">
        <v>4800000</v>
      </c>
      <c r="R13" s="4">
        <f t="shared" si="2"/>
        <v>1230859</v>
      </c>
      <c r="S13" s="13">
        <f t="shared" si="3"/>
        <v>-1.2529375</v>
      </c>
      <c r="T13" s="13">
        <f t="shared" si="7"/>
        <v>0.86099999999999999</v>
      </c>
    </row>
    <row r="14" spans="1:20" ht="15.5" x14ac:dyDescent="0.35">
      <c r="A14" s="3">
        <f t="shared" si="8"/>
        <v>46162</v>
      </c>
      <c r="B14" s="7">
        <f t="shared" si="4"/>
        <v>24067</v>
      </c>
      <c r="C14" s="4">
        <v>-36074</v>
      </c>
      <c r="D14" s="7">
        <f t="shared" si="9"/>
        <v>761</v>
      </c>
      <c r="E14" s="7">
        <v>11539</v>
      </c>
      <c r="F14" s="7">
        <v>493</v>
      </c>
      <c r="G14" s="7">
        <f>IFERROR(VLOOKUP(A14,[1]SUMMERY!$A$2:$G$21,7,FALSE),"")</f>
        <v>747942</v>
      </c>
      <c r="H14" s="11">
        <f t="shared" si="0"/>
        <v>41.744380675764447</v>
      </c>
      <c r="I14" s="11">
        <f>(C14-SUM($F$2:F14))*100/P14</f>
        <v>-3.2907048799380325</v>
      </c>
      <c r="J14" s="11">
        <f>(C14-SUM($F$2:F14))*100/Q14</f>
        <v>-0.88506249999999997</v>
      </c>
      <c r="K14" s="13">
        <f t="shared" si="5"/>
        <v>1.826026336173509</v>
      </c>
      <c r="L14" s="13">
        <f>(C14-SUM($F$2:F14))*100/P14</f>
        <v>-3.2907048799380325</v>
      </c>
      <c r="M14" s="8">
        <f t="shared" si="1"/>
        <v>1.2083531863681574</v>
      </c>
      <c r="N14" s="7">
        <v>1791719</v>
      </c>
      <c r="O14" s="7">
        <f t="shared" si="6"/>
        <v>1991719</v>
      </c>
      <c r="P14" s="4">
        <v>1291000</v>
      </c>
      <c r="Q14" s="4">
        <v>4800000</v>
      </c>
      <c r="R14" s="4">
        <f t="shared" si="2"/>
        <v>1254926</v>
      </c>
      <c r="S14" s="13">
        <f t="shared" si="3"/>
        <v>-0.75154166666666666</v>
      </c>
      <c r="T14" s="13">
        <f t="shared" si="7"/>
        <v>0.50139583333333337</v>
      </c>
    </row>
    <row r="15" spans="1:20" ht="15.5" x14ac:dyDescent="0.35">
      <c r="A15" s="3">
        <f t="shared" si="8"/>
        <v>46163</v>
      </c>
      <c r="B15" s="7">
        <f t="shared" si="4"/>
        <v>31770</v>
      </c>
      <c r="C15" s="4">
        <v>-4304</v>
      </c>
      <c r="D15" s="7">
        <f t="shared" si="9"/>
        <v>418</v>
      </c>
      <c r="E15" s="7">
        <v>11957</v>
      </c>
      <c r="F15" s="7">
        <v>493</v>
      </c>
      <c r="G15" s="7">
        <f>IFERROR(VLOOKUP(A15,[1]SUMMERY!$A$2:$G$21,7,FALSE),"")</f>
        <v>750616.75</v>
      </c>
      <c r="H15" s="11">
        <f t="shared" si="0"/>
        <v>43.134332346464511</v>
      </c>
      <c r="I15" s="11">
        <f>(C15-SUM($F$2:F15))*100/P15</f>
        <v>-0.86800929512006197</v>
      </c>
      <c r="J15" s="11">
        <f>(C15-SUM($F$2:F15))*100/Q15</f>
        <v>-0.23345833333333332</v>
      </c>
      <c r="K15" s="13">
        <f t="shared" si="5"/>
        <v>2.4226955848179705</v>
      </c>
      <c r="L15" s="13">
        <f>(C15-SUM($F$2:F15))*100/P15</f>
        <v>-0.86800929512006197</v>
      </c>
      <c r="M15" s="8">
        <f t="shared" si="1"/>
        <v>1.6374735592088172</v>
      </c>
      <c r="N15" s="7">
        <v>1740184</v>
      </c>
      <c r="O15" s="7">
        <f t="shared" si="6"/>
        <v>1940184</v>
      </c>
      <c r="P15" s="4">
        <v>1291000</v>
      </c>
      <c r="Q15" s="4">
        <v>4800000</v>
      </c>
      <c r="R15" s="4">
        <f t="shared" si="2"/>
        <v>1286696</v>
      </c>
      <c r="S15" s="13">
        <f t="shared" si="3"/>
        <v>-8.9666666666666672E-2</v>
      </c>
      <c r="T15" s="13">
        <f t="shared" si="7"/>
        <v>0.66187499999999999</v>
      </c>
    </row>
    <row r="16" spans="1:20" ht="15.5" x14ac:dyDescent="0.35">
      <c r="A16" s="3">
        <f t="shared" si="8"/>
        <v>46164</v>
      </c>
      <c r="B16" s="7">
        <f t="shared" si="4"/>
        <v>35263</v>
      </c>
      <c r="C16" s="4">
        <v>30959</v>
      </c>
      <c r="D16" s="7">
        <f t="shared" si="9"/>
        <v>812</v>
      </c>
      <c r="E16" s="7">
        <v>12769</v>
      </c>
      <c r="F16" s="7">
        <v>493</v>
      </c>
      <c r="G16" s="7">
        <f>IFERROR(VLOOKUP(A16,[1]SUMMERY!$A$2:$G$21,7,FALSE),"")</f>
        <v>459072.25</v>
      </c>
      <c r="H16" s="11">
        <f t="shared" si="0"/>
        <v>43.34444154897529</v>
      </c>
      <c r="I16" s="11">
        <f>(C16-SUM($F$2:F16))*100/P16</f>
        <v>1.8252517428350117</v>
      </c>
      <c r="J16" s="11">
        <f>(C16-SUM($F$2:F16))*100/Q16</f>
        <v>0.49091666666666667</v>
      </c>
      <c r="K16" s="13">
        <f t="shared" si="5"/>
        <v>2.6932610379550734</v>
      </c>
      <c r="L16" s="13">
        <f>(C16-SUM($F$2:F16))*100/P16</f>
        <v>1.8252517428350117</v>
      </c>
      <c r="M16" s="8">
        <f t="shared" si="1"/>
        <v>2.8005934275044755</v>
      </c>
      <c r="N16" s="7">
        <v>1059126</v>
      </c>
      <c r="O16" s="7">
        <f t="shared" si="6"/>
        <v>1259126</v>
      </c>
      <c r="P16" s="4">
        <v>1291000</v>
      </c>
      <c r="Q16" s="4">
        <v>4800000</v>
      </c>
      <c r="R16" s="4">
        <f t="shared" si="2"/>
        <v>1321959</v>
      </c>
      <c r="S16" s="13">
        <f t="shared" si="3"/>
        <v>0.64497916666666666</v>
      </c>
      <c r="T16" s="13">
        <f t="shared" si="7"/>
        <v>0.73464583333333333</v>
      </c>
    </row>
    <row r="17" spans="1:20" ht="15.5" x14ac:dyDescent="0.35">
      <c r="A17" s="3">
        <f t="shared" si="8"/>
        <v>46167</v>
      </c>
      <c r="B17" s="7">
        <f t="shared" si="4"/>
        <v>609</v>
      </c>
      <c r="C17" s="4">
        <v>31568</v>
      </c>
      <c r="D17" s="7">
        <f t="shared" si="9"/>
        <v>1084</v>
      </c>
      <c r="E17" s="7">
        <v>13853</v>
      </c>
      <c r="F17" s="7">
        <v>493</v>
      </c>
      <c r="G17" s="7">
        <f>IFERROR(VLOOKUP(A17,[1]SUMMERY!$A$2:$G$21,7,FALSE),"")</f>
        <v>590642</v>
      </c>
      <c r="H17" s="11">
        <f t="shared" si="0"/>
        <v>44.172071863882515</v>
      </c>
      <c r="I17" s="11">
        <f>(C17-SUM($F$2:F17))*100/P17</f>
        <v>1.8342370255615801</v>
      </c>
      <c r="J17" s="11">
        <f>(C17-SUM($F$2:F17))*100/Q17</f>
        <v>0.49333333333333335</v>
      </c>
      <c r="K17" s="13">
        <f t="shared" si="5"/>
        <v>8.9852827265685508E-3</v>
      </c>
      <c r="L17" s="13">
        <f>(C17-SUM($F$2:F17))*100/P17</f>
        <v>1.8342370255615801</v>
      </c>
      <c r="M17" s="8">
        <f t="shared" si="1"/>
        <v>3.9619058523659864E-2</v>
      </c>
      <c r="N17" s="7">
        <v>1337139</v>
      </c>
      <c r="O17" s="7">
        <f t="shared" si="6"/>
        <v>1537139</v>
      </c>
      <c r="P17" s="4">
        <v>1291000</v>
      </c>
      <c r="Q17" s="4">
        <v>4800000</v>
      </c>
      <c r="R17" s="4">
        <f t="shared" si="2"/>
        <v>1322568</v>
      </c>
      <c r="S17" s="13">
        <f t="shared" si="3"/>
        <v>0.65766666666666662</v>
      </c>
      <c r="T17" s="13">
        <f t="shared" si="7"/>
        <v>1.2687500000000001E-2</v>
      </c>
    </row>
    <row r="18" spans="1:20" ht="15.5" x14ac:dyDescent="0.35">
      <c r="A18" s="3">
        <f t="shared" si="8"/>
        <v>46168</v>
      </c>
      <c r="B18" s="7">
        <f t="shared" si="4"/>
        <v>35563</v>
      </c>
      <c r="C18" s="17">
        <v>67131</v>
      </c>
      <c r="D18" s="7">
        <f t="shared" si="9"/>
        <v>486</v>
      </c>
      <c r="E18" s="16">
        <v>14339</v>
      </c>
      <c r="F18" s="7">
        <v>493</v>
      </c>
      <c r="G18" s="7">
        <f>IFERROR(VLOOKUP(A18,[1]SUMMERY!$A$2:$G$21,7,FALSE),"")</f>
        <v>367237</v>
      </c>
      <c r="H18" s="11">
        <f t="shared" si="0"/>
        <v>43.212436208655504</v>
      </c>
      <c r="I18" s="11">
        <f>(C18-SUM($F$2:F18))*100/P18</f>
        <v>4.550735863671572</v>
      </c>
      <c r="J18" s="11">
        <f>(C18-SUM($F$2:F18))*100/Q18</f>
        <v>1.2239583333333333</v>
      </c>
      <c r="K18" s="13">
        <f t="shared" si="5"/>
        <v>2.7164988381099922</v>
      </c>
      <c r="L18" s="13">
        <f>(C18-SUM($F$2:F18))*100/P18</f>
        <v>4.550735863671572</v>
      </c>
      <c r="M18" s="8">
        <f t="shared" si="1"/>
        <v>3.3874653399895793</v>
      </c>
      <c r="N18" s="7">
        <v>849841</v>
      </c>
      <c r="O18" s="7">
        <f t="shared" si="6"/>
        <v>1049841</v>
      </c>
      <c r="P18" s="4">
        <v>1291000</v>
      </c>
      <c r="Q18" s="4">
        <v>4800000</v>
      </c>
      <c r="R18" s="4">
        <f t="shared" si="2"/>
        <v>1358131</v>
      </c>
      <c r="S18" s="13">
        <f t="shared" si="3"/>
        <v>1.3985624999999999</v>
      </c>
      <c r="T18" s="13">
        <f t="shared" si="7"/>
        <v>0.74089583333333331</v>
      </c>
    </row>
    <row r="19" spans="1:20" ht="15.5" x14ac:dyDescent="0.35">
      <c r="A19" s="3">
        <f t="shared" si="8"/>
        <v>46169</v>
      </c>
      <c r="B19" s="7">
        <f t="shared" si="4"/>
        <v>16163</v>
      </c>
      <c r="C19" s="4">
        <f>C18+16163</f>
        <v>83294</v>
      </c>
      <c r="D19" s="7">
        <f t="shared" si="9"/>
        <v>594</v>
      </c>
      <c r="E19" s="7">
        <f>E18+594</f>
        <v>14933</v>
      </c>
      <c r="F19" s="7">
        <v>493</v>
      </c>
      <c r="G19" s="7">
        <f>IFERROR(VLOOKUP(A19,[1]SUMMERY!$A$2:$G$21,7,FALSE),"")</f>
        <v>230197.5</v>
      </c>
      <c r="H19" s="11">
        <f t="shared" si="0"/>
        <v>40.543950022258024</v>
      </c>
      <c r="I19" s="11">
        <f>(C19-SUM($F$2:F19))*100/P19</f>
        <v>5.7645236250968246</v>
      </c>
      <c r="J19" s="11">
        <f>(C19-SUM($F$2:F19))*100/Q19</f>
        <v>1.5504166666666668</v>
      </c>
      <c r="K19" s="13">
        <f t="shared" si="5"/>
        <v>1.2137877614252517</v>
      </c>
      <c r="L19" s="13">
        <f>(C19-SUM($F$2:F19))*100/P19</f>
        <v>5.7645236250968246</v>
      </c>
      <c r="M19" s="8">
        <f t="shared" si="1"/>
        <v>2.1051802112018172</v>
      </c>
      <c r="N19" s="7">
        <f>288059.75+279713</f>
        <v>567772.75</v>
      </c>
      <c r="O19" s="7">
        <f t="shared" si="6"/>
        <v>767772.75</v>
      </c>
      <c r="P19" s="4">
        <v>1291000</v>
      </c>
      <c r="Q19" s="4">
        <v>4800000</v>
      </c>
      <c r="R19" s="4">
        <f t="shared" si="2"/>
        <v>1374294</v>
      </c>
      <c r="S19" s="13">
        <f t="shared" si="3"/>
        <v>1.7352916666666667</v>
      </c>
      <c r="T19" s="13">
        <f t="shared" si="7"/>
        <v>0.33672916666666669</v>
      </c>
    </row>
    <row r="20" spans="1:20" ht="15.5" x14ac:dyDescent="0.35">
      <c r="A20" s="3">
        <v>46171</v>
      </c>
      <c r="B20" s="7">
        <f t="shared" si="4"/>
        <v>25419</v>
      </c>
      <c r="C20" s="4">
        <v>108713</v>
      </c>
      <c r="D20" s="7">
        <f t="shared" si="9"/>
        <v>897</v>
      </c>
      <c r="E20" s="7">
        <f>E19+897</f>
        <v>15830</v>
      </c>
      <c r="F20" s="7">
        <v>493</v>
      </c>
      <c r="G20" s="7">
        <f>IFERROR(VLOOKUP(A20,[1]SUMMERY!$A$2:$G$21,7,FALSE),"")</f>
        <v>485000.75</v>
      </c>
      <c r="H20" s="11">
        <f t="shared" si="0"/>
        <v>43.736986012302246</v>
      </c>
      <c r="I20" s="11">
        <f>(C20-SUM($F$2:F20))*100/P20</f>
        <v>7.6952749806351664</v>
      </c>
      <c r="J20" s="11">
        <f>(C20-SUM($F$2:F20))*100/Q20</f>
        <v>2.0697083333333333</v>
      </c>
      <c r="K20" s="13">
        <f t="shared" si="5"/>
        <v>1.9307513555383424</v>
      </c>
      <c r="L20" s="13">
        <f>(C20-SUM($F$2:F20))*100/P20</f>
        <v>7.6952749806351664</v>
      </c>
      <c r="M20" s="8">
        <f t="shared" si="1"/>
        <v>1.9420079257210046</v>
      </c>
      <c r="N20" s="7">
        <v>1108903</v>
      </c>
      <c r="O20" s="7">
        <f t="shared" si="6"/>
        <v>1308903</v>
      </c>
      <c r="P20" s="4">
        <v>1291000</v>
      </c>
      <c r="Q20" s="4">
        <v>4800000</v>
      </c>
      <c r="R20" s="4">
        <f t="shared" si="2"/>
        <v>1399713</v>
      </c>
      <c r="S20" s="13">
        <f t="shared" si="3"/>
        <v>2.2648541666666668</v>
      </c>
      <c r="T20" s="13">
        <f t="shared" si="7"/>
        <v>0.52956250000000005</v>
      </c>
    </row>
    <row r="21" spans="1:20" ht="15.5" x14ac:dyDescent="0.35">
      <c r="A21" s="3">
        <f t="shared" si="8"/>
        <v>46174</v>
      </c>
      <c r="B21" s="7">
        <f t="shared" si="4"/>
        <v>-24392</v>
      </c>
      <c r="C21" s="4">
        <f>C18+17190</f>
        <v>84321</v>
      </c>
      <c r="D21" s="7">
        <f t="shared" si="9"/>
        <v>562</v>
      </c>
      <c r="E21" s="7">
        <f>E20+562</f>
        <v>16392</v>
      </c>
      <c r="F21" s="7">
        <v>493</v>
      </c>
      <c r="G21" s="7">
        <f>IFERROR(VLOOKUP(A21,[2]SUMMERY!$A$2:$G$21,7,FALSE),"")</f>
        <v>594772.75</v>
      </c>
      <c r="H21" s="11">
        <f t="shared" si="0"/>
        <v>41.512667946257196</v>
      </c>
      <c r="I21" s="11">
        <f>(C21-SUM($F$2:F21))*100/P21</f>
        <v>5.767699457784663</v>
      </c>
      <c r="J21" s="11">
        <f>(C21-SUM($F$2:F21))*100/Q21</f>
        <v>1.5512708333333334</v>
      </c>
      <c r="K21" s="13">
        <f t="shared" si="5"/>
        <v>-1.9275755228505034</v>
      </c>
      <c r="L21" s="13">
        <f>(C21-SUM($F$2:F21))*100/P21</f>
        <v>5.767699457784663</v>
      </c>
      <c r="M21" s="8">
        <f t="shared" si="1"/>
        <v>-1.4939212984229062</v>
      </c>
      <c r="N21" s="7">
        <v>1432750</v>
      </c>
      <c r="O21" s="7">
        <f t="shared" si="6"/>
        <v>1632750</v>
      </c>
      <c r="P21" s="4">
        <v>1291000</v>
      </c>
      <c r="Q21" s="4">
        <v>4800000</v>
      </c>
      <c r="R21" s="4">
        <f t="shared" si="2"/>
        <v>1375321</v>
      </c>
      <c r="S21" s="13">
        <f t="shared" si="3"/>
        <v>1.7566875</v>
      </c>
      <c r="T21" s="13">
        <f t="shared" si="7"/>
        <v>-0.50816666666666666</v>
      </c>
    </row>
    <row r="22" spans="1:20" ht="15.5" x14ac:dyDescent="0.35">
      <c r="A22" s="3">
        <f t="shared" si="8"/>
        <v>46175</v>
      </c>
      <c r="B22" s="7">
        <f t="shared" si="4"/>
        <v>52803</v>
      </c>
      <c r="C22" s="4">
        <v>137124</v>
      </c>
      <c r="D22" s="7">
        <f t="shared" si="9"/>
        <v>716</v>
      </c>
      <c r="E22" s="7">
        <v>17108</v>
      </c>
      <c r="F22" s="7">
        <v>493</v>
      </c>
      <c r="G22" s="7">
        <f>IFERROR(VLOOKUP(A22,[2]SUMMERY!$A$2:$G$21,7,FALSE),"")</f>
        <v>517929.75</v>
      </c>
      <c r="H22" s="11">
        <f t="shared" si="0"/>
        <v>34.512774123903007</v>
      </c>
      <c r="I22" s="11">
        <f>(C22-SUM($F$2:F22))*100/P22</f>
        <v>9.8195972114639822</v>
      </c>
      <c r="J22" s="11">
        <f>(C22-SUM($F$2:F22))*100/Q22</f>
        <v>2.6410624999999999</v>
      </c>
      <c r="K22" s="13">
        <f t="shared" si="5"/>
        <v>4.0518977536793184</v>
      </c>
      <c r="L22" s="13">
        <f>(C22-SUM($F$2:F22))*100/P22</f>
        <v>9.8195972114639822</v>
      </c>
      <c r="M22" s="8">
        <f t="shared" si="1"/>
        <v>3.1047986405517762</v>
      </c>
      <c r="N22" s="7">
        <f>676418+824272</f>
        <v>1500690</v>
      </c>
      <c r="O22" s="7">
        <f t="shared" si="6"/>
        <v>1700690</v>
      </c>
      <c r="P22" s="4">
        <v>1291000</v>
      </c>
      <c r="Q22" s="4">
        <v>4800000</v>
      </c>
      <c r="R22" s="4">
        <f t="shared" si="2"/>
        <v>1428124</v>
      </c>
      <c r="S22" s="13">
        <f t="shared" si="3"/>
        <v>2.8567499999999999</v>
      </c>
      <c r="T22" s="13">
        <f t="shared" si="7"/>
        <v>1.1000624999999999</v>
      </c>
    </row>
    <row r="23" spans="1:20" ht="15.5" x14ac:dyDescent="0.35">
      <c r="A23" s="3">
        <f t="shared" si="8"/>
        <v>46176</v>
      </c>
      <c r="B23" s="7">
        <f t="shared" si="4"/>
        <v>16344</v>
      </c>
      <c r="C23" s="4">
        <v>153468</v>
      </c>
      <c r="D23" s="7">
        <f t="shared" si="9"/>
        <v>2112</v>
      </c>
      <c r="E23" s="7">
        <v>19220</v>
      </c>
      <c r="F23" s="7">
        <v>493</v>
      </c>
      <c r="G23" s="7">
        <f>IFERROR(VLOOKUP(A23,[2]SUMMERY!$A$2:$G$21,7,FALSE),"")</f>
        <v>684086</v>
      </c>
      <c r="H23" s="11">
        <f t="shared" si="0"/>
        <v>38.872476234798881</v>
      </c>
      <c r="I23" s="11">
        <f>(C23-SUM($F$2:F23))*100/P23</f>
        <v>11.047405112316033</v>
      </c>
      <c r="J23" s="11">
        <f>(C23-SUM($F$2:F23))*100/Q23</f>
        <v>2.9712916666666667</v>
      </c>
      <c r="K23" s="13">
        <f t="shared" si="5"/>
        <v>1.2278079008520526</v>
      </c>
      <c r="L23" s="13">
        <f>(C23-SUM($F$2:F23))*100/P23</f>
        <v>11.047405112316033</v>
      </c>
      <c r="M23" s="8">
        <f t="shared" si="1"/>
        <v>0.83395371311971855</v>
      </c>
      <c r="N23" s="7">
        <v>1759821</v>
      </c>
      <c r="O23" s="7">
        <f t="shared" si="6"/>
        <v>1959821</v>
      </c>
      <c r="P23" s="4">
        <v>1291000</v>
      </c>
      <c r="Q23" s="4">
        <v>4800000</v>
      </c>
      <c r="R23" s="4">
        <f t="shared" si="2"/>
        <v>1444468</v>
      </c>
      <c r="S23" s="13">
        <f t="shared" si="3"/>
        <v>3.1972499999999999</v>
      </c>
      <c r="T23" s="13">
        <f t="shared" si="7"/>
        <v>0.34050000000000002</v>
      </c>
    </row>
    <row r="24" spans="1:20" ht="15.5" x14ac:dyDescent="0.35">
      <c r="A24" s="3">
        <f t="shared" si="8"/>
        <v>46177</v>
      </c>
      <c r="B24" s="7">
        <f t="shared" si="4"/>
        <v>23424</v>
      </c>
      <c r="C24" s="4">
        <v>176892</v>
      </c>
      <c r="D24" s="7">
        <f t="shared" si="9"/>
        <v>509</v>
      </c>
      <c r="E24" s="7">
        <v>19729</v>
      </c>
      <c r="F24" s="7">
        <v>493</v>
      </c>
      <c r="G24" s="7">
        <f>IFERROR(VLOOKUP(A24,[2]SUMMERY!$A$2:$G$21,7,FALSE),"")</f>
        <v>626967.25</v>
      </c>
      <c r="H24" s="11">
        <f t="shared" si="0"/>
        <v>38.471565144291247</v>
      </c>
      <c r="I24" s="11">
        <f>(C24-SUM($F$2:F24))*100/P24</f>
        <v>12.823625096824168</v>
      </c>
      <c r="J24" s="11">
        <f>(C24-SUM($F$2:F24))*100/Q24</f>
        <v>3.4490208333333334</v>
      </c>
      <c r="K24" s="13">
        <f t="shared" si="5"/>
        <v>1.7762199845081332</v>
      </c>
      <c r="L24" s="13">
        <f>(C24-SUM($F$2:F24))*100/P24</f>
        <v>12.823625096824168</v>
      </c>
      <c r="M24" s="8">
        <f t="shared" si="1"/>
        <v>1.2802168673381831</v>
      </c>
      <c r="N24" s="7">
        <v>1629690</v>
      </c>
      <c r="O24" s="7">
        <f t="shared" si="6"/>
        <v>1829690</v>
      </c>
      <c r="P24" s="4">
        <v>1291000</v>
      </c>
      <c r="Q24" s="4">
        <v>4800000</v>
      </c>
      <c r="R24" s="4">
        <f t="shared" si="2"/>
        <v>1467892</v>
      </c>
      <c r="S24" s="13">
        <f t="shared" si="3"/>
        <v>3.6852499999999999</v>
      </c>
      <c r="T24" s="13">
        <f t="shared" si="7"/>
        <v>0.48799999999999999</v>
      </c>
    </row>
    <row r="25" spans="1:20" ht="15.5" x14ac:dyDescent="0.35">
      <c r="A25" s="3">
        <f t="shared" si="8"/>
        <v>46178</v>
      </c>
      <c r="B25" s="7">
        <f t="shared" si="4"/>
        <v>-2660</v>
      </c>
      <c r="C25" s="4">
        <f>67131+107101</f>
        <v>174232</v>
      </c>
      <c r="D25" s="7">
        <f t="shared" si="9"/>
        <v>1100</v>
      </c>
      <c r="E25" s="7">
        <f>6490+14339</f>
        <v>20829</v>
      </c>
      <c r="F25" s="7">
        <v>493</v>
      </c>
      <c r="G25" s="7">
        <f>IFERROR(VLOOKUP(A25,[2]SUMMERY!$A$2:$G$21,7,FALSE),"")</f>
        <v>595429.25</v>
      </c>
      <c r="H25" s="11">
        <f t="shared" si="0"/>
        <v>37.376941179720021</v>
      </c>
      <c r="I25" s="11">
        <f>(C25-SUM($F$2:F25))*100/P25</f>
        <v>12.579395817195973</v>
      </c>
      <c r="J25" s="11">
        <f>(C25-SUM($F$2:F25))*100/Q25</f>
        <v>3.3833333333333333</v>
      </c>
      <c r="K25" s="13">
        <f t="shared" si="5"/>
        <v>-0.24422927962819518</v>
      </c>
      <c r="L25" s="13">
        <f>(C25-SUM($F$2:F25))*100/P25</f>
        <v>12.579395817195973</v>
      </c>
      <c r="M25" s="8">
        <f t="shared" si="1"/>
        <v>-0.14835148594090813</v>
      </c>
      <c r="N25" s="7">
        <v>1593039</v>
      </c>
      <c r="O25" s="7">
        <f t="shared" si="6"/>
        <v>1793039</v>
      </c>
      <c r="P25" s="4">
        <v>1291000</v>
      </c>
      <c r="Q25" s="4">
        <v>4800000</v>
      </c>
      <c r="R25" s="4">
        <f t="shared" si="2"/>
        <v>1465232</v>
      </c>
      <c r="S25" s="13">
        <f t="shared" si="3"/>
        <v>3.6298333333333335</v>
      </c>
      <c r="T25" s="13">
        <f t="shared" si="7"/>
        <v>-5.541666666666667E-2</v>
      </c>
    </row>
    <row r="26" spans="1:20" ht="15.5" x14ac:dyDescent="0.35">
      <c r="A26" s="3">
        <f t="shared" si="8"/>
        <v>46181</v>
      </c>
      <c r="B26" s="7">
        <f t="shared" si="4"/>
        <v>-56253</v>
      </c>
      <c r="C26" s="4">
        <f>C18+50848</f>
        <v>117979</v>
      </c>
      <c r="D26" s="7">
        <f t="shared" si="9"/>
        <v>1585</v>
      </c>
      <c r="E26" s="7">
        <f>E18+8075</f>
        <v>22414</v>
      </c>
      <c r="F26" s="7">
        <v>493</v>
      </c>
      <c r="G26" s="7">
        <f>IFERROR(VLOOKUP(A26,[2]SUMMERY!$A$2:$G$21,7,FALSE),"")</f>
        <v>700758.5</v>
      </c>
      <c r="H26" s="11">
        <f t="shared" si="0"/>
        <v>41.954075288316645</v>
      </c>
      <c r="I26" s="11">
        <f>(C26-SUM($F$2:F26))*100/P26</f>
        <v>8.183888458559256</v>
      </c>
      <c r="J26" s="11">
        <f>(C26-SUM($F$2:F26))*100/Q26</f>
        <v>2.2011250000000002</v>
      </c>
      <c r="K26" s="13">
        <f t="shared" si="5"/>
        <v>-4.3955073586367162</v>
      </c>
      <c r="L26" s="13">
        <f>(C26-SUM($F$2:F26))*100/P26</f>
        <v>8.183888458559256</v>
      </c>
      <c r="M26" s="8">
        <f t="shared" si="1"/>
        <v>-3.007700907715825</v>
      </c>
      <c r="N26" s="7">
        <v>1670299</v>
      </c>
      <c r="O26" s="7">
        <f t="shared" si="6"/>
        <v>1870299</v>
      </c>
      <c r="P26" s="4">
        <v>1291000</v>
      </c>
      <c r="Q26" s="4">
        <v>4800000</v>
      </c>
      <c r="R26" s="4">
        <f t="shared" si="2"/>
        <v>1408979</v>
      </c>
      <c r="S26" s="13">
        <f t="shared" si="3"/>
        <v>2.4578958333333332</v>
      </c>
      <c r="T26" s="13">
        <f t="shared" si="7"/>
        <v>-1.1719375000000001</v>
      </c>
    </row>
    <row r="27" spans="1:20" ht="15.5" x14ac:dyDescent="0.35">
      <c r="A27" s="3">
        <f t="shared" si="8"/>
        <v>46182</v>
      </c>
      <c r="B27" s="7">
        <f t="shared" si="4"/>
        <v>59594</v>
      </c>
      <c r="C27" s="4">
        <f>110442+C18</f>
        <v>177573</v>
      </c>
      <c r="D27" s="7">
        <f t="shared" si="9"/>
        <v>1463</v>
      </c>
      <c r="E27" s="7">
        <f>9538+E18</f>
        <v>23877</v>
      </c>
      <c r="F27" s="7">
        <v>493</v>
      </c>
      <c r="G27" s="7">
        <f>IFERROR(VLOOKUP(A27,[2]SUMMERY!$A$2:$G$21,7,FALSE),"")</f>
        <v>471760.25</v>
      </c>
      <c r="H27" s="11">
        <f t="shared" si="0"/>
        <v>37.15583847898683</v>
      </c>
      <c r="I27" s="11">
        <f>(C27-SUM($F$2:F27))*100/P27</f>
        <v>12.761812548412083</v>
      </c>
      <c r="J27" s="11">
        <f>(C27-SUM($F$2:F27))*100/Q27</f>
        <v>3.4323958333333335</v>
      </c>
      <c r="K27" s="13">
        <f t="shared" si="5"/>
        <v>4.5779240898528268</v>
      </c>
      <c r="L27" s="13">
        <f>(C27-SUM($F$2:F27))*100/P27</f>
        <v>12.761812548412083</v>
      </c>
      <c r="M27" s="8">
        <f t="shared" si="1"/>
        <v>4.0548963039573245</v>
      </c>
      <c r="N27" s="7">
        <v>1269680</v>
      </c>
      <c r="O27" s="7">
        <f t="shared" si="6"/>
        <v>1469680</v>
      </c>
      <c r="P27" s="4">
        <v>1291000</v>
      </c>
      <c r="Q27" s="4">
        <v>4800000</v>
      </c>
      <c r="R27" s="4">
        <f t="shared" si="2"/>
        <v>1468573</v>
      </c>
      <c r="S27" s="13">
        <f t="shared" si="3"/>
        <v>3.6994375000000002</v>
      </c>
      <c r="T27" s="13">
        <f t="shared" si="7"/>
        <v>1.2415416666666668</v>
      </c>
    </row>
    <row r="28" spans="1:20" ht="15.5" x14ac:dyDescent="0.35">
      <c r="A28" s="3">
        <f t="shared" si="8"/>
        <v>46183</v>
      </c>
      <c r="B28" s="7">
        <f t="shared" si="4"/>
        <v>3548</v>
      </c>
      <c r="C28" s="4">
        <f>113990+C18</f>
        <v>181121</v>
      </c>
      <c r="D28" s="7">
        <f t="shared" si="9"/>
        <v>1344</v>
      </c>
      <c r="E28" s="7">
        <f>10882+E18</f>
        <v>25221</v>
      </c>
      <c r="F28" s="7">
        <v>493</v>
      </c>
      <c r="G28" s="7" t="str">
        <f>IFERROR(VLOOKUP(A28,[2]SUMMERY!$A$2:$G$21,7,FALSE),"")</f>
        <v/>
      </c>
      <c r="H28" s="11" t="e">
        <f t="shared" si="0"/>
        <v>#VALUE!</v>
      </c>
      <c r="I28" s="11">
        <f>(C28-SUM($F$2:F28))*100/P28</f>
        <v>12.998450813323005</v>
      </c>
      <c r="J28" s="11">
        <f>(C28-SUM($F$2:F28))*100/Q28</f>
        <v>3.4960416666666667</v>
      </c>
      <c r="K28" s="13">
        <f t="shared" si="5"/>
        <v>0.23663826491092177</v>
      </c>
      <c r="L28" s="13">
        <f>(C28-SUM($F$2:F28))*100/P28</f>
        <v>12.998450813323005</v>
      </c>
      <c r="M28" s="8">
        <f t="shared" si="1"/>
        <v>0.25094653098956254</v>
      </c>
      <c r="N28" s="7">
        <v>1213847</v>
      </c>
      <c r="O28" s="7">
        <f t="shared" si="6"/>
        <v>1413847</v>
      </c>
      <c r="P28" s="4">
        <v>1291000</v>
      </c>
      <c r="Q28" s="4">
        <v>4800000</v>
      </c>
      <c r="R28" s="4">
        <f t="shared" si="2"/>
        <v>1472121</v>
      </c>
      <c r="S28" s="13">
        <f t="shared" si="3"/>
        <v>3.7733541666666666</v>
      </c>
      <c r="T28" s="13">
        <f t="shared" si="7"/>
        <v>7.3916666666666672E-2</v>
      </c>
    </row>
    <row r="29" spans="1:20" ht="15.5" x14ac:dyDescent="0.35">
      <c r="A29" s="3">
        <f t="shared" si="8"/>
        <v>46184</v>
      </c>
      <c r="B29" s="7">
        <f t="shared" si="4"/>
        <v>3017</v>
      </c>
      <c r="C29" s="4">
        <f>117007+C18</f>
        <v>184138</v>
      </c>
      <c r="D29" s="7">
        <f t="shared" si="9"/>
        <v>899</v>
      </c>
      <c r="E29" s="7">
        <f>11781+E18</f>
        <v>26120</v>
      </c>
      <c r="F29" s="7">
        <v>493</v>
      </c>
      <c r="G29" s="7" t="str">
        <f>IFERROR(VLOOKUP(A29,[2]SUMMERY!$A$2:$G$21,7,FALSE),"")</f>
        <v/>
      </c>
      <c r="H29" s="11" t="e">
        <f t="shared" si="0"/>
        <v>#VALUE!</v>
      </c>
      <c r="I29" s="11">
        <f>(C29-SUM($F$2:F29))*100/P29</f>
        <v>13.193958171959721</v>
      </c>
      <c r="K29" s="13">
        <f t="shared" si="5"/>
        <v>0.19550735863671573</v>
      </c>
      <c r="L29" s="13">
        <f>(C29-SUM($F$2:F29))*100/P29</f>
        <v>13.193958171959721</v>
      </c>
      <c r="M29" s="8" t="e">
        <f t="shared" si="1"/>
        <v>#DIV/0!</v>
      </c>
      <c r="P29" s="4">
        <v>1291000</v>
      </c>
      <c r="Q29" s="4">
        <v>4800000</v>
      </c>
      <c r="R29" s="4">
        <f t="shared" si="2"/>
        <v>1475138</v>
      </c>
      <c r="S29" s="13">
        <f t="shared" si="3"/>
        <v>3.8362083333333334</v>
      </c>
      <c r="T29" s="12">
        <f t="shared" si="7"/>
        <v>6.2854166666666669E-2</v>
      </c>
    </row>
    <row r="30" spans="1:20" ht="15.5" x14ac:dyDescent="0.35">
      <c r="A30" s="3">
        <f t="shared" si="8"/>
        <v>46185</v>
      </c>
      <c r="B30" s="7">
        <f t="shared" si="4"/>
        <v>-184138</v>
      </c>
      <c r="C30" s="4"/>
      <c r="D30" s="7" t="str">
        <f t="shared" si="9"/>
        <v/>
      </c>
      <c r="F30" s="7">
        <v>493</v>
      </c>
      <c r="G30" s="7" t="str">
        <f>IFERROR(VLOOKUP(A30,[2]SUMMERY!$A$2:$G$21,7,FALSE),"")</f>
        <v/>
      </c>
      <c r="H30" s="11" t="e">
        <f t="shared" si="0"/>
        <v>#VALUE!</v>
      </c>
      <c r="I30" s="11">
        <f>(C30-SUM($F$2:F30))*100/P30</f>
        <v>-1.1074360960495739</v>
      </c>
      <c r="K30" s="13">
        <f t="shared" si="5"/>
        <v>-14.301394268009295</v>
      </c>
      <c r="L30" s="13">
        <f>(C30-SUM($F$2:F30))*100/P30</f>
        <v>-1.1074360960495739</v>
      </c>
      <c r="M30" s="8" t="e">
        <f t="shared" si="1"/>
        <v>#DIV/0!</v>
      </c>
      <c r="P30" s="4">
        <v>1291000</v>
      </c>
      <c r="Q30" s="4">
        <v>4800000</v>
      </c>
      <c r="R30" s="4">
        <f t="shared" si="2"/>
        <v>1291000</v>
      </c>
      <c r="S30" s="13">
        <f t="shared" si="3"/>
        <v>0</v>
      </c>
      <c r="T30" s="12">
        <f t="shared" si="7"/>
        <v>-3.8362083333333334</v>
      </c>
    </row>
    <row r="31" spans="1:20" ht="15.5" x14ac:dyDescent="0.35">
      <c r="A31" s="3">
        <f t="shared" si="8"/>
        <v>46188</v>
      </c>
      <c r="B31" s="7" t="str">
        <f t="shared" si="4"/>
        <v/>
      </c>
      <c r="C31" s="4"/>
      <c r="D31" s="7" t="str">
        <f t="shared" si="9"/>
        <v/>
      </c>
      <c r="F31" s="7">
        <v>493</v>
      </c>
      <c r="G31" s="7" t="str">
        <f>IFERROR(VLOOKUP(A31,[2]SUMMERY!$A$2:$G$21,7,FALSE),"")</f>
        <v/>
      </c>
      <c r="H31" s="11" t="e">
        <f t="shared" si="0"/>
        <v>#VALUE!</v>
      </c>
      <c r="I31" s="11" t="e">
        <f>(C31-SUM($F$2:F31))*100/P31</f>
        <v>#DIV/0!</v>
      </c>
      <c r="K31" s="13" t="e">
        <f t="shared" si="5"/>
        <v>#VALUE!</v>
      </c>
      <c r="L31" s="13" t="e">
        <f>(C31-SUM($F$2:F31))*100/P31</f>
        <v>#DIV/0!</v>
      </c>
      <c r="M31" s="8" t="e">
        <f t="shared" si="1"/>
        <v>#VALUE!</v>
      </c>
      <c r="Q31" s="4">
        <v>4800000</v>
      </c>
      <c r="R31" s="4">
        <f t="shared" si="2"/>
        <v>0</v>
      </c>
      <c r="S31" s="13">
        <f t="shared" si="3"/>
        <v>0</v>
      </c>
      <c r="T31" s="12" t="e">
        <f t="shared" si="7"/>
        <v>#VALUE!</v>
      </c>
    </row>
    <row r="32" spans="1:20" ht="15.5" x14ac:dyDescent="0.35">
      <c r="A32" s="3">
        <f t="shared" si="8"/>
        <v>46189</v>
      </c>
      <c r="B32" s="7" t="str">
        <f t="shared" si="4"/>
        <v/>
      </c>
      <c r="C32" s="4"/>
      <c r="D32" s="7" t="str">
        <f t="shared" si="9"/>
        <v/>
      </c>
      <c r="F32" s="7">
        <v>493</v>
      </c>
      <c r="G32" s="7" t="str">
        <f>IFERROR(VLOOKUP(A32,[2]SUMMERY!$A$2:$G$21,7,FALSE),"")</f>
        <v/>
      </c>
      <c r="H32" s="11" t="e">
        <f t="shared" si="0"/>
        <v>#VALUE!</v>
      </c>
      <c r="I32" s="11" t="e">
        <f>(C32-SUM($F$2:F32))*100/P32</f>
        <v>#DIV/0!</v>
      </c>
      <c r="K32" s="13" t="e">
        <f t="shared" si="5"/>
        <v>#VALUE!</v>
      </c>
      <c r="L32" s="13" t="e">
        <f>(C32-SUM($F$2:F32))*100/P32</f>
        <v>#DIV/0!</v>
      </c>
      <c r="M32" s="8" t="e">
        <f t="shared" si="1"/>
        <v>#VALUE!</v>
      </c>
      <c r="Q32" s="4">
        <v>4800000</v>
      </c>
      <c r="R32" s="4">
        <f t="shared" si="2"/>
        <v>0</v>
      </c>
      <c r="S32" s="13">
        <f t="shared" si="3"/>
        <v>0</v>
      </c>
      <c r="T32" s="12" t="e">
        <f t="shared" si="7"/>
        <v>#VALUE!</v>
      </c>
    </row>
    <row r="33" spans="1:20" ht="15.5" x14ac:dyDescent="0.35">
      <c r="A33" s="3">
        <f t="shared" si="8"/>
        <v>46190</v>
      </c>
      <c r="B33" s="7" t="str">
        <f t="shared" si="4"/>
        <v/>
      </c>
      <c r="D33" s="7" t="str">
        <f t="shared" si="9"/>
        <v/>
      </c>
      <c r="F33" s="7">
        <v>493</v>
      </c>
      <c r="G33" s="7" t="str">
        <f>IFERROR(VLOOKUP(A33,[2]SUMMERY!$A$2:$G$21,7,FALSE),"")</f>
        <v/>
      </c>
      <c r="H33" s="11" t="e">
        <f t="shared" si="0"/>
        <v>#VALUE!</v>
      </c>
      <c r="I33" s="11" t="e">
        <f>(C33-SUM($F$2:F33))*100/P33</f>
        <v>#DIV/0!</v>
      </c>
      <c r="K33" s="13" t="e">
        <f t="shared" si="5"/>
        <v>#VALUE!</v>
      </c>
      <c r="L33" s="13" t="e">
        <f>(C33-SUM($F$2:F33))*100/P33</f>
        <v>#DIV/0!</v>
      </c>
      <c r="M33" s="8" t="e">
        <f t="shared" si="1"/>
        <v>#VALUE!</v>
      </c>
      <c r="Q33" s="4">
        <v>4800000</v>
      </c>
      <c r="R33" s="4">
        <f t="shared" si="2"/>
        <v>0</v>
      </c>
      <c r="S33" s="13">
        <f t="shared" si="3"/>
        <v>0</v>
      </c>
      <c r="T33" s="12" t="e">
        <f t="shared" si="7"/>
        <v>#VALUE!</v>
      </c>
    </row>
    <row r="34" spans="1:20" ht="15.5" x14ac:dyDescent="0.35">
      <c r="A34" s="3">
        <f t="shared" si="8"/>
        <v>46191</v>
      </c>
      <c r="B34" s="7" t="str">
        <f t="shared" si="4"/>
        <v/>
      </c>
      <c r="D34" s="7" t="str">
        <f t="shared" si="9"/>
        <v/>
      </c>
      <c r="F34" s="7">
        <v>493</v>
      </c>
      <c r="G34" s="7" t="str">
        <f>IFERROR(VLOOKUP(A34,[2]SUMMERY!$A$2:$G$21,7,FALSE),"")</f>
        <v/>
      </c>
      <c r="H34" s="11" t="e">
        <f t="shared" si="0"/>
        <v>#VALUE!</v>
      </c>
      <c r="I34" s="11" t="e">
        <f>(C34-SUM($F$2:F34))*100/P34</f>
        <v>#DIV/0!</v>
      </c>
      <c r="K34" s="13" t="e">
        <f t="shared" si="5"/>
        <v>#VALUE!</v>
      </c>
      <c r="L34" s="13" t="e">
        <f>(C34-SUM($F$2:F34))*100/P34</f>
        <v>#DIV/0!</v>
      </c>
      <c r="M34" s="8" t="e">
        <f t="shared" si="1"/>
        <v>#VALUE!</v>
      </c>
      <c r="Q34" s="4">
        <v>4800000</v>
      </c>
      <c r="R34" s="4">
        <f t="shared" si="2"/>
        <v>0</v>
      </c>
      <c r="S34" s="13">
        <f t="shared" si="3"/>
        <v>0</v>
      </c>
      <c r="T34" s="12" t="e">
        <f t="shared" si="7"/>
        <v>#VALUE!</v>
      </c>
    </row>
    <row r="35" spans="1:20" ht="15.5" x14ac:dyDescent="0.35">
      <c r="A35" s="3">
        <f t="shared" si="8"/>
        <v>46192</v>
      </c>
      <c r="B35" s="7" t="str">
        <f t="shared" si="4"/>
        <v/>
      </c>
      <c r="D35" s="7" t="str">
        <f t="shared" si="9"/>
        <v/>
      </c>
      <c r="F35" s="7">
        <v>493</v>
      </c>
      <c r="G35" s="7" t="str">
        <f>IFERROR(VLOOKUP(A35,[2]SUMMERY!$A$2:$G$21,7,FALSE),"")</f>
        <v/>
      </c>
      <c r="H35" s="11" t="e">
        <f t="shared" si="0"/>
        <v>#VALUE!</v>
      </c>
      <c r="I35" s="11" t="e">
        <f>(C35-SUM($F$2:F35))*100/P35</f>
        <v>#DIV/0!</v>
      </c>
      <c r="K35" s="13" t="e">
        <f t="shared" si="5"/>
        <v>#VALUE!</v>
      </c>
      <c r="L35" s="13" t="e">
        <f>(C35-SUM($F$2:F35))*100/P35</f>
        <v>#DIV/0!</v>
      </c>
      <c r="M35" s="8" t="e">
        <f t="shared" si="1"/>
        <v>#VALUE!</v>
      </c>
      <c r="Q35" s="4">
        <v>4800000</v>
      </c>
      <c r="R35" s="4">
        <f t="shared" si="2"/>
        <v>0</v>
      </c>
      <c r="S35" s="13">
        <f t="shared" si="3"/>
        <v>0</v>
      </c>
      <c r="T35" s="12" t="e">
        <f t="shared" si="7"/>
        <v>#VALUE!</v>
      </c>
    </row>
    <row r="36" spans="1:20" ht="15.5" x14ac:dyDescent="0.35">
      <c r="A36" s="3">
        <f t="shared" si="8"/>
        <v>46195</v>
      </c>
      <c r="B36" s="7" t="str">
        <f t="shared" si="4"/>
        <v/>
      </c>
      <c r="D36" s="7" t="str">
        <f t="shared" si="9"/>
        <v/>
      </c>
      <c r="F36" s="7">
        <v>493</v>
      </c>
      <c r="G36" s="7" t="str">
        <f>IFERROR(VLOOKUP(A36,[2]SUMMERY!$A$2:$G$21,7,FALSE),"")</f>
        <v/>
      </c>
      <c r="H36" s="11" t="e">
        <f t="shared" si="0"/>
        <v>#VALUE!</v>
      </c>
      <c r="I36" s="11" t="e">
        <f>(C36-SUM($F$2:F36))*100/P36</f>
        <v>#DIV/0!</v>
      </c>
      <c r="K36" s="13" t="e">
        <f t="shared" si="5"/>
        <v>#VALUE!</v>
      </c>
      <c r="L36" s="13" t="e">
        <f>(C36-SUM($F$2:F36))*100/P36</f>
        <v>#DIV/0!</v>
      </c>
      <c r="M36" s="8" t="e">
        <f t="shared" si="1"/>
        <v>#VALUE!</v>
      </c>
      <c r="Q36" s="4">
        <v>4800000</v>
      </c>
      <c r="R36" s="4">
        <f t="shared" si="2"/>
        <v>0</v>
      </c>
      <c r="S36" s="13">
        <f t="shared" si="3"/>
        <v>0</v>
      </c>
      <c r="T36" s="12" t="e">
        <f t="shared" si="7"/>
        <v>#VALUE!</v>
      </c>
    </row>
    <row r="37" spans="1:20" ht="15.5" x14ac:dyDescent="0.35">
      <c r="A37" s="3">
        <f t="shared" si="8"/>
        <v>46196</v>
      </c>
      <c r="B37" s="7" t="str">
        <f t="shared" si="4"/>
        <v/>
      </c>
      <c r="D37" s="7" t="str">
        <f t="shared" si="9"/>
        <v/>
      </c>
      <c r="F37" s="7">
        <v>493</v>
      </c>
      <c r="G37" s="7" t="str">
        <f>IFERROR(VLOOKUP(A37,[2]SUMMERY!$A$2:$G$21,7,FALSE),"")</f>
        <v/>
      </c>
      <c r="I37" s="11" t="e">
        <f>(C37-SUM($F$2:F37))*100/P37</f>
        <v>#DIV/0!</v>
      </c>
      <c r="K37" s="13" t="e">
        <f t="shared" si="5"/>
        <v>#VALUE!</v>
      </c>
      <c r="L37" s="13" t="e">
        <f>(C37-SUM($F$2:F37))*100/P37</f>
        <v>#DIV/0!</v>
      </c>
      <c r="M37" s="8" t="e">
        <f t="shared" si="1"/>
        <v>#VALUE!</v>
      </c>
      <c r="Q37" s="4">
        <v>4800000</v>
      </c>
      <c r="R37" s="4">
        <f t="shared" si="2"/>
        <v>0</v>
      </c>
      <c r="S37" s="13">
        <f t="shared" si="3"/>
        <v>0</v>
      </c>
      <c r="T37" s="12" t="e">
        <f t="shared" si="7"/>
        <v>#VALUE!</v>
      </c>
    </row>
    <row r="38" spans="1:20" ht="15.5" x14ac:dyDescent="0.35">
      <c r="A38" s="3">
        <f t="shared" ref="A38:A41" si="10">A37+1</f>
        <v>46197</v>
      </c>
      <c r="B38" s="7" t="str">
        <f t="shared" si="4"/>
        <v/>
      </c>
      <c r="D38" s="7" t="str">
        <f t="shared" si="9"/>
        <v/>
      </c>
      <c r="F38" s="7">
        <v>493</v>
      </c>
      <c r="G38" s="7" t="str">
        <f>IFERROR(VLOOKUP(A38,[2]SUMMERY!$A$2:$G$21,7,FALSE),"")</f>
        <v/>
      </c>
      <c r="I38" s="11" t="e">
        <f>(C38-SUM($F$2:F38))*100/P38</f>
        <v>#DIV/0!</v>
      </c>
      <c r="K38" s="13" t="e">
        <f t="shared" si="5"/>
        <v>#VALUE!</v>
      </c>
      <c r="L38" s="13" t="e">
        <f>(C38-SUM($F$2:F38))*100/P38</f>
        <v>#DIV/0!</v>
      </c>
      <c r="M38" s="8" t="e">
        <f t="shared" si="1"/>
        <v>#VALUE!</v>
      </c>
      <c r="Q38" s="4">
        <v>4800000</v>
      </c>
      <c r="R38" s="4">
        <f t="shared" si="2"/>
        <v>0</v>
      </c>
      <c r="S38" s="13">
        <f t="shared" si="3"/>
        <v>0</v>
      </c>
      <c r="T38" s="12" t="e">
        <f t="shared" si="7"/>
        <v>#VALUE!</v>
      </c>
    </row>
    <row r="39" spans="1:20" ht="15.5" x14ac:dyDescent="0.35">
      <c r="A39" s="3">
        <f t="shared" si="10"/>
        <v>46198</v>
      </c>
      <c r="B39" s="7" t="str">
        <f t="shared" si="4"/>
        <v/>
      </c>
      <c r="D39" s="7" t="str">
        <f t="shared" si="9"/>
        <v/>
      </c>
      <c r="F39" s="7">
        <v>493</v>
      </c>
      <c r="G39" s="7" t="str">
        <f>IFERROR(VLOOKUP(A39,[2]SUMMERY!$A$2:$G$21,7,FALSE),"")</f>
        <v/>
      </c>
      <c r="I39" s="11" t="e">
        <f>(C39-SUM($F$2:F39))*100/P39</f>
        <v>#DIV/0!</v>
      </c>
      <c r="K39" s="13" t="e">
        <f t="shared" si="5"/>
        <v>#VALUE!</v>
      </c>
      <c r="L39" s="13" t="e">
        <f>(C39-SUM($F$2:F39))*100/P39</f>
        <v>#DIV/0!</v>
      </c>
      <c r="M39" s="8" t="e">
        <f t="shared" si="1"/>
        <v>#VALUE!</v>
      </c>
      <c r="Q39" s="4">
        <v>4800000</v>
      </c>
      <c r="S39" s="13">
        <f t="shared" si="3"/>
        <v>0</v>
      </c>
      <c r="T39" s="12" t="e">
        <f t="shared" si="7"/>
        <v>#VALUE!</v>
      </c>
    </row>
    <row r="40" spans="1:20" ht="15.5" x14ac:dyDescent="0.35">
      <c r="A40" s="3">
        <f t="shared" si="10"/>
        <v>46199</v>
      </c>
      <c r="B40" s="7" t="str">
        <f t="shared" si="4"/>
        <v/>
      </c>
      <c r="D40" s="7" t="str">
        <f t="shared" si="9"/>
        <v/>
      </c>
      <c r="F40" s="7">
        <v>493</v>
      </c>
      <c r="G40" s="7" t="str">
        <f>IFERROR(VLOOKUP(A40,[2]SUMMERY!$A$2:$G$21,7,FALSE),"")</f>
        <v/>
      </c>
      <c r="I40" s="11" t="e">
        <f>(C40-SUM($F$2:F40))*100/P40</f>
        <v>#DIV/0!</v>
      </c>
      <c r="K40" s="13" t="e">
        <f t="shared" si="5"/>
        <v>#VALUE!</v>
      </c>
      <c r="L40" s="13" t="e">
        <f>(C40-SUM($F$2:F40))*100/P40</f>
        <v>#DIV/0!</v>
      </c>
      <c r="Q40" s="4">
        <v>4800000</v>
      </c>
      <c r="S40" s="13">
        <f t="shared" si="3"/>
        <v>0</v>
      </c>
      <c r="T40" s="12" t="e">
        <f t="shared" si="7"/>
        <v>#VALUE!</v>
      </c>
    </row>
    <row r="41" spans="1:20" ht="15.5" x14ac:dyDescent="0.35">
      <c r="A41" s="3">
        <f t="shared" si="10"/>
        <v>46200</v>
      </c>
      <c r="B41" s="7" t="str">
        <f t="shared" si="4"/>
        <v/>
      </c>
      <c r="D41" s="7" t="str">
        <f t="shared" si="9"/>
        <v/>
      </c>
      <c r="F41" s="7">
        <v>493</v>
      </c>
      <c r="G41" s="7" t="str">
        <f>IFERROR(VLOOKUP(A41,[2]SUMMERY!$A$2:$G$21,7,FALSE),"")</f>
        <v/>
      </c>
      <c r="I41" s="11" t="e">
        <f>(C41-SUM($F$2:F41))*100/P41</f>
        <v>#DIV/0!</v>
      </c>
      <c r="K41" s="13" t="e">
        <f t="shared" si="5"/>
        <v>#VALUE!</v>
      </c>
      <c r="L41" s="13" t="e">
        <f>(C41-SUM($F$2:F41))*100/P41</f>
        <v>#DIV/0!</v>
      </c>
      <c r="Q41" s="4">
        <v>4800000</v>
      </c>
      <c r="S41" s="13">
        <f t="shared" si="3"/>
        <v>0</v>
      </c>
      <c r="T41" s="12" t="e">
        <f t="shared" si="7"/>
        <v>#VALUE!</v>
      </c>
    </row>
    <row r="42" spans="1:20" ht="15.5" x14ac:dyDescent="0.35">
      <c r="B42" s="7" t="str">
        <f t="shared" si="4"/>
        <v/>
      </c>
      <c r="D42" s="7" t="str">
        <f t="shared" si="9"/>
        <v/>
      </c>
      <c r="F42" s="7">
        <v>493</v>
      </c>
      <c r="G42" s="7" t="str">
        <f>IFERROR(VLOOKUP(A42,[2]SUMMERY!$A$2:$G$21,7,FALSE),"")</f>
        <v/>
      </c>
      <c r="I42" s="11" t="e">
        <f>(C42-SUM($F$2:F42))*100/P42</f>
        <v>#DIV/0!</v>
      </c>
      <c r="K42" s="13" t="e">
        <f t="shared" si="5"/>
        <v>#VALUE!</v>
      </c>
      <c r="L42" s="13" t="e">
        <f>(C42-SUM($F$2:F42))*100/P42</f>
        <v>#DIV/0!</v>
      </c>
      <c r="Q42" s="4">
        <v>4800000</v>
      </c>
      <c r="S42" s="13">
        <f t="shared" si="3"/>
        <v>0</v>
      </c>
      <c r="T42" s="12" t="e">
        <f t="shared" si="7"/>
        <v>#VALUE!</v>
      </c>
    </row>
    <row r="43" spans="1:20" ht="15.5" x14ac:dyDescent="0.35">
      <c r="B43" s="7" t="str">
        <f t="shared" si="4"/>
        <v/>
      </c>
      <c r="D43" s="7" t="str">
        <f t="shared" si="9"/>
        <v/>
      </c>
      <c r="F43" s="7">
        <v>493</v>
      </c>
      <c r="G43" s="7" t="str">
        <f>IFERROR(VLOOKUP(A43,[2]SUMMERY!$A$2:$G$21,7,FALSE),"")</f>
        <v/>
      </c>
      <c r="I43" s="11" t="e">
        <f>(C43-SUM($F$2:F43))*100/P43</f>
        <v>#DIV/0!</v>
      </c>
      <c r="K43" s="13" t="e">
        <f t="shared" si="5"/>
        <v>#VALUE!</v>
      </c>
      <c r="L43" s="13" t="e">
        <f>(C43-SUM($F$2:F43))*100/P43</f>
        <v>#DIV/0!</v>
      </c>
      <c r="Q43" s="4">
        <v>4800000</v>
      </c>
      <c r="S43" s="13">
        <f t="shared" si="3"/>
        <v>0</v>
      </c>
      <c r="T43" s="12" t="e">
        <f t="shared" si="7"/>
        <v>#VALUE!</v>
      </c>
    </row>
    <row r="44" spans="1:20" ht="15.5" x14ac:dyDescent="0.35">
      <c r="B44" s="7" t="str">
        <f t="shared" si="4"/>
        <v/>
      </c>
      <c r="D44" s="7" t="str">
        <f t="shared" si="9"/>
        <v/>
      </c>
      <c r="F44" s="7">
        <v>493</v>
      </c>
      <c r="G44" s="7" t="str">
        <f>IFERROR(VLOOKUP(A44,[2]SUMMERY!$A$2:$G$21,7,FALSE),"")</f>
        <v/>
      </c>
      <c r="I44" s="11" t="e">
        <f>(C44-SUM($F$2:F44))*100/P44</f>
        <v>#DIV/0!</v>
      </c>
      <c r="K44" s="13" t="e">
        <f t="shared" si="5"/>
        <v>#VALUE!</v>
      </c>
      <c r="L44" s="12" t="e">
        <f t="shared" ref="L44:L49" si="11">C44*100/P44</f>
        <v>#DIV/0!</v>
      </c>
      <c r="Q44" s="4">
        <v>4800000</v>
      </c>
      <c r="S44" s="13">
        <f t="shared" si="3"/>
        <v>0</v>
      </c>
      <c r="T44" s="12" t="e">
        <f t="shared" si="7"/>
        <v>#VALUE!</v>
      </c>
    </row>
    <row r="45" spans="1:20" ht="15.5" x14ac:dyDescent="0.35">
      <c r="B45" s="7" t="str">
        <f t="shared" si="4"/>
        <v/>
      </c>
      <c r="D45" s="7" t="str">
        <f t="shared" si="9"/>
        <v/>
      </c>
      <c r="F45" s="7">
        <v>493</v>
      </c>
      <c r="G45" s="7" t="str">
        <f>IFERROR(VLOOKUP(A45,[1]SUMMERY!$A$2:$G$21,7,FALSE),"")</f>
        <v/>
      </c>
      <c r="I45" s="11" t="e">
        <f>(C45-SUM($F$2:F45))*100/P45</f>
        <v>#DIV/0!</v>
      </c>
      <c r="K45" s="13" t="e">
        <f t="shared" si="5"/>
        <v>#VALUE!</v>
      </c>
      <c r="L45" s="12" t="e">
        <f t="shared" si="11"/>
        <v>#DIV/0!</v>
      </c>
      <c r="Q45" s="4">
        <v>4800000</v>
      </c>
      <c r="S45" s="13">
        <f t="shared" si="3"/>
        <v>0</v>
      </c>
      <c r="T45" s="12" t="e">
        <f t="shared" si="7"/>
        <v>#VALUE!</v>
      </c>
    </row>
    <row r="46" spans="1:20" ht="15.5" x14ac:dyDescent="0.35">
      <c r="B46" s="7" t="str">
        <f t="shared" si="4"/>
        <v/>
      </c>
      <c r="D46" s="7" t="str">
        <f t="shared" si="9"/>
        <v/>
      </c>
      <c r="F46" s="7">
        <v>493</v>
      </c>
      <c r="G46" s="7" t="str">
        <f>IFERROR(VLOOKUP(A46,[1]SUMMERY!$A$2:$G$21,7,FALSE),"")</f>
        <v/>
      </c>
      <c r="I46" s="11" t="e">
        <f>(C46-SUM($F$2:F46))*100/P46</f>
        <v>#DIV/0!</v>
      </c>
      <c r="K46" s="13" t="e">
        <f t="shared" si="5"/>
        <v>#VALUE!</v>
      </c>
      <c r="L46" s="12" t="e">
        <f t="shared" si="11"/>
        <v>#DIV/0!</v>
      </c>
      <c r="Q46" s="4">
        <v>4800000</v>
      </c>
      <c r="S46" s="13">
        <f t="shared" si="3"/>
        <v>0</v>
      </c>
      <c r="T46" s="12" t="e">
        <f t="shared" si="7"/>
        <v>#VALUE!</v>
      </c>
    </row>
    <row r="47" spans="1:20" ht="15.5" x14ac:dyDescent="0.35">
      <c r="B47" s="7" t="str">
        <f t="shared" si="4"/>
        <v/>
      </c>
      <c r="D47" s="7" t="str">
        <f t="shared" si="9"/>
        <v/>
      </c>
      <c r="F47" s="7">
        <v>493</v>
      </c>
      <c r="G47" s="7" t="str">
        <f>IFERROR(VLOOKUP(A47,[1]SUMMERY!$A$2:$G$21,7,FALSE),"")</f>
        <v/>
      </c>
      <c r="I47" s="11" t="e">
        <f>(C47-SUM($F$2:F47))*100/P47</f>
        <v>#DIV/0!</v>
      </c>
      <c r="K47" s="13" t="e">
        <f t="shared" si="5"/>
        <v>#VALUE!</v>
      </c>
      <c r="L47" s="12" t="e">
        <f t="shared" si="11"/>
        <v>#DIV/0!</v>
      </c>
      <c r="Q47" s="4">
        <v>4800000</v>
      </c>
      <c r="S47" s="13">
        <f t="shared" si="3"/>
        <v>0</v>
      </c>
      <c r="T47" s="12" t="e">
        <f t="shared" si="7"/>
        <v>#VALUE!</v>
      </c>
    </row>
    <row r="48" spans="1:20" x14ac:dyDescent="0.3">
      <c r="B48" s="7" t="str">
        <f t="shared" si="4"/>
        <v/>
      </c>
      <c r="D48" s="7" t="str">
        <f t="shared" si="9"/>
        <v/>
      </c>
      <c r="F48" s="7">
        <v>493</v>
      </c>
      <c r="I48" s="11" t="e">
        <f>(C48-SUM($F$2:F48))*100/P48</f>
        <v>#DIV/0!</v>
      </c>
      <c r="K48" s="13" t="e">
        <f t="shared" si="5"/>
        <v>#VALUE!</v>
      </c>
      <c r="L48" s="12" t="e">
        <f t="shared" si="11"/>
        <v>#DIV/0!</v>
      </c>
      <c r="S48" s="12" t="e">
        <f t="shared" si="3"/>
        <v>#DIV/0!</v>
      </c>
      <c r="T48" s="12" t="e">
        <f t="shared" si="7"/>
        <v>#VALUE!</v>
      </c>
    </row>
    <row r="49" spans="2:20" x14ac:dyDescent="0.3">
      <c r="B49" s="7" t="str">
        <f t="shared" si="4"/>
        <v/>
      </c>
      <c r="D49" s="7" t="str">
        <f t="shared" si="9"/>
        <v/>
      </c>
      <c r="F49" s="7">
        <v>493</v>
      </c>
      <c r="I49" s="11" t="e">
        <f>(C49-SUM($F$2:F49))*100/P49</f>
        <v>#DIV/0!</v>
      </c>
      <c r="K49" s="13" t="e">
        <f t="shared" si="5"/>
        <v>#VALUE!</v>
      </c>
      <c r="L49" s="12" t="e">
        <f t="shared" si="11"/>
        <v>#DIV/0!</v>
      </c>
      <c r="T49" s="12" t="e">
        <f t="shared" si="7"/>
        <v>#VALUE!</v>
      </c>
    </row>
    <row r="50" spans="2:20" x14ac:dyDescent="0.3">
      <c r="B50" s="7" t="str">
        <f t="shared" si="4"/>
        <v/>
      </c>
      <c r="D50" s="7" t="str">
        <f t="shared" si="9"/>
        <v/>
      </c>
      <c r="I50" s="11" t="e">
        <f>(C50-SUM($F$2:F50))*100/P50</f>
        <v>#DIV/0!</v>
      </c>
      <c r="K50" s="13" t="e">
        <f t="shared" si="5"/>
        <v>#VALUE!</v>
      </c>
      <c r="T50" s="12" t="e">
        <f t="shared" si="7"/>
        <v>#VALUE!</v>
      </c>
    </row>
    <row r="51" spans="2:20" x14ac:dyDescent="0.3">
      <c r="B51" s="7" t="str">
        <f t="shared" si="4"/>
        <v/>
      </c>
      <c r="D51" s="7" t="str">
        <f t="shared" si="9"/>
        <v/>
      </c>
      <c r="I51" s="11" t="e">
        <f>(C51-SUM($F$2:F51))*100/P51</f>
        <v>#DIV/0!</v>
      </c>
      <c r="K51" s="13" t="e">
        <f t="shared" si="5"/>
        <v>#VALUE!</v>
      </c>
      <c r="T51" s="12" t="e">
        <f t="shared" si="7"/>
        <v>#VALUE!</v>
      </c>
    </row>
    <row r="52" spans="2:20" x14ac:dyDescent="0.3">
      <c r="B52" s="7" t="str">
        <f t="shared" si="4"/>
        <v/>
      </c>
      <c r="I52" s="11" t="e">
        <f>(C52-SUM($F$2:F52))*100/P52</f>
        <v>#DIV/0!</v>
      </c>
      <c r="K52" s="13" t="e">
        <f t="shared" si="5"/>
        <v>#VALUE!</v>
      </c>
      <c r="T52" s="12" t="e">
        <f t="shared" si="7"/>
        <v>#VALUE!</v>
      </c>
    </row>
    <row r="53" spans="2:20" x14ac:dyDescent="0.3">
      <c r="I53" s="11" t="e">
        <f>(C53-SUM($F$2:F53))*100/P53</f>
        <v>#DIV/0!</v>
      </c>
      <c r="K53" s="13" t="e">
        <f t="shared" si="5"/>
        <v>#DIV/0!</v>
      </c>
      <c r="T53" s="12" t="e">
        <f t="shared" si="7"/>
        <v>#DIV/0!</v>
      </c>
    </row>
    <row r="54" spans="2:20" x14ac:dyDescent="0.3">
      <c r="K54" s="13" t="e">
        <f t="shared" si="5"/>
        <v>#DIV/0!</v>
      </c>
      <c r="T54" s="12" t="e">
        <f t="shared" si="7"/>
        <v>#DIV/0!</v>
      </c>
    </row>
    <row r="55" spans="2:20" x14ac:dyDescent="0.3">
      <c r="K55" s="13" t="e">
        <f t="shared" si="5"/>
        <v>#DIV/0!</v>
      </c>
      <c r="T55" s="12" t="e">
        <f t="shared" si="7"/>
        <v>#DIV/0!</v>
      </c>
    </row>
    <row r="56" spans="2:20" x14ac:dyDescent="0.3">
      <c r="K56" s="13" t="e">
        <f t="shared" si="5"/>
        <v>#DIV/0!</v>
      </c>
      <c r="T56" s="12" t="e">
        <f t="shared" si="7"/>
        <v>#DIV/0!</v>
      </c>
    </row>
    <row r="57" spans="2:20" x14ac:dyDescent="0.3">
      <c r="K57" s="13" t="e">
        <f t="shared" si="5"/>
        <v>#DIV/0!</v>
      </c>
      <c r="T57" s="12" t="e">
        <f t="shared" si="7"/>
        <v>#DIV/0!</v>
      </c>
    </row>
    <row r="58" spans="2:20" x14ac:dyDescent="0.3">
      <c r="K58" s="13" t="e">
        <f t="shared" si="5"/>
        <v>#DIV/0!</v>
      </c>
      <c r="T58" s="12" t="e">
        <f t="shared" si="7"/>
        <v>#DIV/0!</v>
      </c>
    </row>
    <row r="59" spans="2:20" x14ac:dyDescent="0.3">
      <c r="K59" s="13" t="e">
        <f t="shared" si="5"/>
        <v>#DIV/0!</v>
      </c>
      <c r="T59" s="12" t="e">
        <f t="shared" si="7"/>
        <v>#DIV/0!</v>
      </c>
    </row>
    <row r="60" spans="2:20" x14ac:dyDescent="0.3">
      <c r="K60" s="13" t="e">
        <f t="shared" si="5"/>
        <v>#DIV/0!</v>
      </c>
      <c r="T60" s="12" t="e">
        <f t="shared" si="7"/>
        <v>#DIV/0!</v>
      </c>
    </row>
    <row r="61" spans="2:20" x14ac:dyDescent="0.3">
      <c r="K61" s="13" t="e">
        <f t="shared" si="5"/>
        <v>#DIV/0!</v>
      </c>
      <c r="T61" s="12" t="e">
        <f t="shared" si="7"/>
        <v>#DIV/0!</v>
      </c>
    </row>
    <row r="62" spans="2:20" x14ac:dyDescent="0.3">
      <c r="K62" s="13" t="e">
        <f t="shared" si="5"/>
        <v>#DIV/0!</v>
      </c>
      <c r="T62" s="12" t="e">
        <f t="shared" si="7"/>
        <v>#DIV/0!</v>
      </c>
    </row>
    <row r="63" spans="2:20" x14ac:dyDescent="0.3">
      <c r="K63" s="13" t="e">
        <f t="shared" si="5"/>
        <v>#DIV/0!</v>
      </c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240A3-A9DD-4992-ABAA-EA518B8D3F90}">
  <dimension ref="A1:K73"/>
  <sheetViews>
    <sheetView tabSelected="1" topLeftCell="A16" zoomScale="83" zoomScaleNormal="83" workbookViewId="0">
      <selection activeCell="K29" sqref="K29"/>
    </sheetView>
  </sheetViews>
  <sheetFormatPr defaultRowHeight="14" x14ac:dyDescent="0.3"/>
  <cols>
    <col min="1" max="1" width="11.54296875" bestFit="1" customWidth="1"/>
    <col min="2" max="2" width="10.54296875" bestFit="1" customWidth="1"/>
    <col min="3" max="3" width="18.453125" bestFit="1" customWidth="1"/>
    <col min="4" max="4" width="27.81640625" bestFit="1" customWidth="1"/>
    <col min="5" max="5" width="29.26953125" bestFit="1" customWidth="1"/>
    <col min="6" max="6" width="24" bestFit="1" customWidth="1"/>
    <col min="7" max="7" width="15.26953125" bestFit="1" customWidth="1"/>
  </cols>
  <sheetData>
    <row r="1" spans="1:10" ht="15.5" x14ac:dyDescent="0.35">
      <c r="A1" s="3" t="s">
        <v>0</v>
      </c>
      <c r="B1" s="15" t="s">
        <v>8</v>
      </c>
      <c r="C1" s="15" t="s">
        <v>11</v>
      </c>
      <c r="D1" s="15" t="s">
        <v>9</v>
      </c>
      <c r="E1" s="9" t="s">
        <v>19</v>
      </c>
      <c r="F1" s="9" t="s">
        <v>20</v>
      </c>
      <c r="G1" s="9" t="s">
        <v>18</v>
      </c>
      <c r="H1" s="9" t="s">
        <v>15</v>
      </c>
      <c r="I1" s="9" t="s">
        <v>16</v>
      </c>
      <c r="J1" s="9" t="s">
        <v>17</v>
      </c>
    </row>
    <row r="2" spans="1:10" ht="15.5" x14ac:dyDescent="0.35">
      <c r="A2" s="3">
        <v>46146</v>
      </c>
      <c r="B2" s="9">
        <f>VLOOKUP(A2,'RCG INTERS '!A2:B61,2,)</f>
        <v>1238</v>
      </c>
      <c r="C2" s="13">
        <f>VLOOKUP(A2,'RCG INTERS '!A2:K168,11,)</f>
        <v>5.7707203718048022E-2</v>
      </c>
      <c r="D2" s="13">
        <f>VLOOKUP(A2,'RCG INTERS '!A2:I126,9,)</f>
        <v>5.7707203718048022E-2</v>
      </c>
      <c r="E2" s="9">
        <v>0</v>
      </c>
      <c r="F2" s="9">
        <f>E2</f>
        <v>0</v>
      </c>
      <c r="G2" s="13">
        <f>(H2-I2)*100/J2</f>
        <v>1.2765430058663141</v>
      </c>
      <c r="H2" s="9">
        <v>24381</v>
      </c>
      <c r="I2" s="9">
        <v>24072</v>
      </c>
      <c r="J2" s="9">
        <v>24206</v>
      </c>
    </row>
    <row r="3" spans="1:10" ht="15.5" x14ac:dyDescent="0.35">
      <c r="A3" s="3">
        <f>WORKDAY(A2,1)</f>
        <v>46147</v>
      </c>
      <c r="B3" s="9">
        <f>VLOOKUP(A3,'RCG INTERS '!A3:B62,2,)</f>
        <v>23246</v>
      </c>
      <c r="C3" s="13">
        <f>VLOOKUP(A3,'RCG INTERS '!A3:K169,11,)</f>
        <v>1.7624322230828815</v>
      </c>
      <c r="D3" s="13">
        <f>VLOOKUP(A3,'RCG INTERS '!A3:I127,9,)</f>
        <v>1.8201394268009294</v>
      </c>
      <c r="E3" s="13">
        <f>(J3-J2)*100/J2</f>
        <v>-0.41312071387259358</v>
      </c>
      <c r="F3" s="13">
        <f>(J2-J3)*100/$J$2</f>
        <v>0.41312071387259358</v>
      </c>
      <c r="G3" s="13">
        <f t="shared" ref="G3:G54" si="0">(H3-I3)*100/J3</f>
        <v>0.87530075499875548</v>
      </c>
      <c r="H3" s="9">
        <v>24148</v>
      </c>
      <c r="I3" s="9">
        <v>23937</v>
      </c>
      <c r="J3" s="9">
        <v>24106</v>
      </c>
    </row>
    <row r="4" spans="1:10" ht="15.5" x14ac:dyDescent="0.35">
      <c r="A4" s="3">
        <f t="shared" ref="A4:A37" si="1">WORKDAY(A3,1)</f>
        <v>46148</v>
      </c>
      <c r="B4" s="9">
        <f>VLOOKUP(A4,'RCG INTERS '!A4:B63,2,)</f>
        <v>-13730</v>
      </c>
      <c r="C4" s="13">
        <f>VLOOKUP(A4,'RCG INTERS '!A4:K170,11,)</f>
        <v>-1.1017041053446941</v>
      </c>
      <c r="D4" s="13">
        <f>VLOOKUP(A4,'RCG INTERS '!A4:I128,9,)</f>
        <v>0.71843532145623545</v>
      </c>
      <c r="E4" s="13">
        <f t="shared" ref="E4:E17" si="2">(J4-J3)*100/J3</f>
        <v>1.4145855803534391</v>
      </c>
      <c r="F4" s="13">
        <f>(J4-$J$2)*100/$J$2</f>
        <v>0.99562092043295047</v>
      </c>
      <c r="G4" s="13">
        <f t="shared" si="0"/>
        <v>1.693459320161983</v>
      </c>
      <c r="H4" s="9">
        <v>24470</v>
      </c>
      <c r="I4" s="9">
        <v>24056</v>
      </c>
      <c r="J4" s="9">
        <v>24447</v>
      </c>
    </row>
    <row r="5" spans="1:10" ht="15.5" x14ac:dyDescent="0.35">
      <c r="A5" s="3">
        <f t="shared" si="1"/>
        <v>46149</v>
      </c>
      <c r="B5" s="9">
        <f>VLOOKUP(A5,'RCG INTERS '!A5:B64,2,)</f>
        <v>45363</v>
      </c>
      <c r="C5" s="13">
        <f>VLOOKUP(A5,'RCG INTERS '!A5:K171,11,)</f>
        <v>3.4756003098373354</v>
      </c>
      <c r="D5" s="13">
        <f>VLOOKUP(A5,'RCG INTERS '!A5:I129,9,)</f>
        <v>4.1940356312935707</v>
      </c>
      <c r="E5" s="13">
        <f t="shared" si="2"/>
        <v>-0.26588129422833068</v>
      </c>
      <c r="F5" s="13">
        <f t="shared" ref="F5:F26" si="3">(J5-$J$2)*100/$J$2</f>
        <v>0.7270924564157647</v>
      </c>
      <c r="G5" s="13">
        <f t="shared" si="0"/>
        <v>0.89000082027725369</v>
      </c>
      <c r="H5" s="9">
        <v>24535</v>
      </c>
      <c r="I5" s="9">
        <v>24318</v>
      </c>
      <c r="J5" s="9">
        <v>24382</v>
      </c>
    </row>
    <row r="6" spans="1:10" ht="15.5" x14ac:dyDescent="0.35">
      <c r="A6" s="3">
        <f t="shared" si="1"/>
        <v>46150</v>
      </c>
      <c r="B6" s="9">
        <f>VLOOKUP(A6,'RCG INTERS '!A6:B65,2,)</f>
        <v>17156</v>
      </c>
      <c r="C6" s="13">
        <f>VLOOKUP(A6,'RCG INTERS '!A6:K172,11,)</f>
        <v>1.2907048799380325</v>
      </c>
      <c r="D6" s="13">
        <f>VLOOKUP(A6,'RCG INTERS '!A6:I130,9,)</f>
        <v>5.4847405112316032</v>
      </c>
      <c r="E6" s="13">
        <f t="shared" si="2"/>
        <v>-0.60700516774669844</v>
      </c>
      <c r="F6" s="13">
        <f t="shared" si="3"/>
        <v>0.1156737998843262</v>
      </c>
      <c r="G6" s="13">
        <f t="shared" si="0"/>
        <v>0.55294214739622016</v>
      </c>
      <c r="H6" s="9">
        <v>24294</v>
      </c>
      <c r="I6" s="9">
        <v>24160</v>
      </c>
      <c r="J6" s="9">
        <v>24234</v>
      </c>
    </row>
    <row r="7" spans="1:10" ht="15.5" x14ac:dyDescent="0.35">
      <c r="A7" s="3">
        <f t="shared" si="1"/>
        <v>46153</v>
      </c>
      <c r="B7" s="9">
        <f>VLOOKUP(A7,'RCG INTERS '!A7:B66,2,)</f>
        <v>-63606</v>
      </c>
      <c r="C7" s="13">
        <f>VLOOKUP(A7,'RCG INTERS '!A7:K173,11,)</f>
        <v>-4.9650658404337724</v>
      </c>
      <c r="D7" s="13">
        <f>VLOOKUP(A7,'RCG INTERS '!A7:I131,9,)</f>
        <v>0.51967467079783114</v>
      </c>
      <c r="E7" s="13">
        <f t="shared" si="2"/>
        <v>-1.5102748205001237</v>
      </c>
      <c r="F7" s="13">
        <f t="shared" si="3"/>
        <v>-1.3963480128893662</v>
      </c>
      <c r="G7" s="13">
        <f t="shared" si="0"/>
        <v>0.80861404390816161</v>
      </c>
      <c r="H7" s="9">
        <v>24043</v>
      </c>
      <c r="I7" s="9">
        <v>23850</v>
      </c>
      <c r="J7" s="9">
        <v>23868</v>
      </c>
    </row>
    <row r="8" spans="1:10" ht="15.5" x14ac:dyDescent="0.35">
      <c r="A8" s="3">
        <f t="shared" si="1"/>
        <v>46154</v>
      </c>
      <c r="B8" s="9">
        <f>VLOOKUP(A8,'RCG INTERS '!A8:B67,2,)</f>
        <v>-214994</v>
      </c>
      <c r="C8" s="13">
        <f>VLOOKUP(A8,'RCG INTERS '!A8:K174,11,)</f>
        <v>-16.69147947327653</v>
      </c>
      <c r="D8" s="13">
        <f>VLOOKUP(A8,'RCG INTERS '!A8:I132,9,)</f>
        <v>-16.1718048024787</v>
      </c>
      <c r="E8" s="13">
        <f t="shared" si="2"/>
        <v>-1.8602312719959779</v>
      </c>
      <c r="F8" s="13">
        <f t="shared" si="3"/>
        <v>-3.2306039824836819</v>
      </c>
      <c r="G8" s="13">
        <f t="shared" si="0"/>
        <v>1.643613387978142</v>
      </c>
      <c r="H8" s="9">
        <v>23778</v>
      </c>
      <c r="I8" s="9">
        <v>23393</v>
      </c>
      <c r="J8" s="9">
        <v>23424</v>
      </c>
    </row>
    <row r="9" spans="1:10" ht="15.5" x14ac:dyDescent="0.35">
      <c r="A9" s="3">
        <f t="shared" si="1"/>
        <v>46155</v>
      </c>
      <c r="B9" s="9">
        <f>VLOOKUP(A9,'RCG INTERS '!A9:B68,2,)</f>
        <v>33360</v>
      </c>
      <c r="C9" s="13">
        <f>VLOOKUP(A9,'RCG INTERS '!A9:K175,11,)</f>
        <v>2.5458559256390396</v>
      </c>
      <c r="D9" s="13">
        <f>VLOOKUP(A9,'RCG INTERS '!A9:I133,9,)</f>
        <v>-13.62594887683966</v>
      </c>
      <c r="E9" s="13">
        <f t="shared" si="2"/>
        <v>0.16222677595628415</v>
      </c>
      <c r="F9" s="13">
        <f t="shared" si="3"/>
        <v>-3.0736181112120962</v>
      </c>
      <c r="G9" s="13">
        <f t="shared" si="0"/>
        <v>1.3170232716733441</v>
      </c>
      <c r="H9" s="9">
        <v>23629</v>
      </c>
      <c r="I9" s="9">
        <v>23320</v>
      </c>
      <c r="J9" s="9">
        <v>23462</v>
      </c>
    </row>
    <row r="10" spans="1:10" ht="15.5" x14ac:dyDescent="0.35">
      <c r="A10" s="3">
        <f t="shared" si="1"/>
        <v>46156</v>
      </c>
      <c r="B10" s="9">
        <f>VLOOKUP(A10,'RCG INTERS '!A10:B69,2,)</f>
        <v>52179</v>
      </c>
      <c r="C10" s="13">
        <f>VLOOKUP(A10,'RCG INTERS '!A10:K176,11,)</f>
        <v>4.0035631293570875</v>
      </c>
      <c r="D10" s="13">
        <f>VLOOKUP(A10,'RCG INTERS '!A10:I134,9,)</f>
        <v>-9.6223857474825714</v>
      </c>
      <c r="E10" s="13">
        <f t="shared" si="2"/>
        <v>1.0144062739749382</v>
      </c>
      <c r="F10" s="13">
        <f t="shared" si="3"/>
        <v>-2.0903908121953236</v>
      </c>
      <c r="G10" s="13">
        <f t="shared" si="0"/>
        <v>1.5443037974683544</v>
      </c>
      <c r="H10" s="9">
        <v>23797</v>
      </c>
      <c r="I10" s="9">
        <v>23431</v>
      </c>
      <c r="J10" s="9">
        <v>23700</v>
      </c>
    </row>
    <row r="11" spans="1:10" ht="15.5" x14ac:dyDescent="0.35">
      <c r="A11" s="3">
        <f t="shared" si="1"/>
        <v>46157</v>
      </c>
      <c r="B11" s="9">
        <f>VLOOKUP(A11,'RCG INTERS '!A11:B70,2,)</f>
        <v>11488</v>
      </c>
      <c r="C11" s="13">
        <f>VLOOKUP(A11,'RCG INTERS '!A11:K177,11,)</f>
        <v>0.85166537567776912</v>
      </c>
      <c r="D11" s="13">
        <f>VLOOKUP(A11,'RCG INTERS '!A11:I135,9,)</f>
        <v>-8.7707203718048028</v>
      </c>
      <c r="E11" s="13">
        <f t="shared" si="2"/>
        <v>-0.24050632911392406</v>
      </c>
      <c r="F11" s="13">
        <f t="shared" si="3"/>
        <v>-2.325869619102702</v>
      </c>
      <c r="G11" s="13">
        <f t="shared" si="0"/>
        <v>-1.6918326777481708E-2</v>
      </c>
      <c r="H11" s="9">
        <v>23854</v>
      </c>
      <c r="I11" s="9">
        <v>23858</v>
      </c>
      <c r="J11" s="9">
        <v>23643</v>
      </c>
    </row>
    <row r="12" spans="1:10" ht="15.5" x14ac:dyDescent="0.35">
      <c r="A12" s="3">
        <f t="shared" si="1"/>
        <v>46160</v>
      </c>
      <c r="B12" s="9">
        <f>VLOOKUP(A12,'RCG INTERS '!A12:B71,2,)</f>
        <v>6831</v>
      </c>
      <c r="C12" s="13">
        <f>VLOOKUP(A12,'RCG INTERS '!A12:K178,11,)</f>
        <v>0.49093725793958171</v>
      </c>
      <c r="D12" s="13">
        <f>VLOOKUP(A12,'RCG INTERS '!A12:I136,9,)</f>
        <v>-8.2797831138652214</v>
      </c>
      <c r="E12" s="13">
        <f t="shared" si="2"/>
        <v>6.3443725415556401E-2</v>
      </c>
      <c r="F12" s="13">
        <f t="shared" si="3"/>
        <v>-2.2639015120218127</v>
      </c>
      <c r="G12" s="13">
        <f t="shared" si="0"/>
        <v>1.563952996872094</v>
      </c>
      <c r="H12" s="9">
        <v>23712</v>
      </c>
      <c r="I12" s="9">
        <v>23342</v>
      </c>
      <c r="J12" s="9">
        <v>23658</v>
      </c>
    </row>
    <row r="13" spans="1:10" ht="15.5" x14ac:dyDescent="0.35">
      <c r="A13" s="3">
        <f t="shared" si="1"/>
        <v>46161</v>
      </c>
      <c r="B13" s="9">
        <f>VLOOKUP(A13,'RCG INTERS '!A13:B72,2,)</f>
        <v>41328</v>
      </c>
      <c r="C13" s="13">
        <f>VLOOKUP(A13,'RCG INTERS '!A13:K179,11,)</f>
        <v>3.1630518977536792</v>
      </c>
      <c r="D13" s="13">
        <f>VLOOKUP(A13,'RCG INTERS '!A13:I137,9,)</f>
        <v>-5.1167312161115417</v>
      </c>
      <c r="E13" s="13">
        <f t="shared" si="2"/>
        <v>-0.19443739961112519</v>
      </c>
      <c r="F13" s="13">
        <f t="shared" si="3"/>
        <v>-2.4539370404032059</v>
      </c>
      <c r="G13" s="13">
        <f t="shared" si="0"/>
        <v>0.85126207013383026</v>
      </c>
      <c r="H13" s="9">
        <v>23777</v>
      </c>
      <c r="I13" s="9">
        <v>23576</v>
      </c>
      <c r="J13" s="9">
        <v>23612</v>
      </c>
    </row>
    <row r="14" spans="1:10" ht="15.5" x14ac:dyDescent="0.35">
      <c r="A14" s="3">
        <f t="shared" si="1"/>
        <v>46162</v>
      </c>
      <c r="B14" s="9">
        <f>VLOOKUP(A14,'RCG INTERS '!A14:B73,2,)</f>
        <v>24067</v>
      </c>
      <c r="C14" s="13">
        <f>VLOOKUP(A14,'RCG INTERS '!A14:K180,11,)</f>
        <v>1.826026336173509</v>
      </c>
      <c r="D14" s="13">
        <f>VLOOKUP(A14,'RCG INTERS '!A14:I138,9,)</f>
        <v>-3.2907048799380325</v>
      </c>
      <c r="E14" s="13">
        <f t="shared" si="2"/>
        <v>0.23716754192783329</v>
      </c>
      <c r="F14" s="13">
        <f t="shared" si="3"/>
        <v>-2.2225894406345534</v>
      </c>
      <c r="G14" s="13">
        <f t="shared" si="0"/>
        <v>1.3266858205171539</v>
      </c>
      <c r="H14" s="9">
        <v>23700</v>
      </c>
      <c r="I14" s="9">
        <v>23386</v>
      </c>
      <c r="J14" s="9">
        <v>23668</v>
      </c>
    </row>
    <row r="15" spans="1:10" ht="15.5" x14ac:dyDescent="0.35">
      <c r="A15" s="3">
        <f t="shared" si="1"/>
        <v>46163</v>
      </c>
      <c r="B15" s="9">
        <f>VLOOKUP(A15,'RCG INTERS '!A15:B74,2,)</f>
        <v>31770</v>
      </c>
      <c r="C15" s="13">
        <f>VLOOKUP(A15,'RCG INTERS '!A15:K181,11,)</f>
        <v>2.4226955848179705</v>
      </c>
      <c r="D15" s="13">
        <f>VLOOKUP(A15,'RCG INTERS '!A15:I139,9,)</f>
        <v>-0.86800929512006197</v>
      </c>
      <c r="E15" s="13">
        <f t="shared" si="2"/>
        <v>-0.156329220888964</v>
      </c>
      <c r="F15" s="13">
        <f t="shared" si="3"/>
        <v>-2.3754441047674129</v>
      </c>
      <c r="G15" s="13">
        <f t="shared" si="0"/>
        <v>1.2145063687529094</v>
      </c>
      <c r="H15" s="9">
        <v>23837</v>
      </c>
      <c r="I15" s="9">
        <v>23550</v>
      </c>
      <c r="J15" s="9">
        <v>23631</v>
      </c>
    </row>
    <row r="16" spans="1:10" ht="15.5" x14ac:dyDescent="0.35">
      <c r="A16" s="3">
        <f t="shared" si="1"/>
        <v>46164</v>
      </c>
      <c r="B16" s="9">
        <f>VLOOKUP(A16,'RCG INTERS '!A16:B75,2,)</f>
        <v>35263</v>
      </c>
      <c r="C16" s="13">
        <f>VLOOKUP(A16,'RCG INTERS '!A16:K182,11,)</f>
        <v>2.6932610379550734</v>
      </c>
      <c r="D16" s="13">
        <f>VLOOKUP(A16,'RCG INTERS '!A16:I140,9,)</f>
        <v>1.8252517428350117</v>
      </c>
      <c r="E16" s="13">
        <f t="shared" si="2"/>
        <v>0.47818543438703398</v>
      </c>
      <c r="F16" s="13">
        <f t="shared" si="3"/>
        <v>-1.9086176980913823</v>
      </c>
      <c r="G16" s="13">
        <f t="shared" si="0"/>
        <v>0.73281671159029649</v>
      </c>
      <c r="H16" s="9">
        <v>23849</v>
      </c>
      <c r="I16" s="9">
        <v>23675</v>
      </c>
      <c r="J16" s="9">
        <v>23744</v>
      </c>
    </row>
    <row r="17" spans="1:11" ht="15.5" x14ac:dyDescent="0.35">
      <c r="A17" s="3">
        <f t="shared" si="1"/>
        <v>46167</v>
      </c>
      <c r="B17" s="9">
        <f>VLOOKUP(A17,'RCG INTERS '!A17:B76,2,)</f>
        <v>609</v>
      </c>
      <c r="C17" s="13">
        <f>VLOOKUP(A17,'RCG INTERS '!A17:K183,11,)</f>
        <v>8.9852827265685508E-3</v>
      </c>
      <c r="D17" s="13">
        <f>VLOOKUP(A17,'RCG INTERS '!A17:I141,9,)</f>
        <v>1.8342370255615801</v>
      </c>
      <c r="E17" s="13">
        <f t="shared" si="2"/>
        <v>1.3434973045822103</v>
      </c>
      <c r="F17" s="13">
        <f t="shared" si="3"/>
        <v>-0.59076262083780884</v>
      </c>
      <c r="G17" s="13">
        <f t="shared" si="0"/>
        <v>0.86855338070897226</v>
      </c>
      <c r="H17" s="9">
        <v>24119</v>
      </c>
      <c r="I17" s="9">
        <v>23910</v>
      </c>
      <c r="J17" s="9">
        <v>24063</v>
      </c>
    </row>
    <row r="18" spans="1:11" ht="15.5" x14ac:dyDescent="0.35">
      <c r="A18" s="3">
        <f t="shared" si="1"/>
        <v>46168</v>
      </c>
      <c r="B18" s="9">
        <f>VLOOKUP(A18,'RCG INTERS '!A18:B77,2,)</f>
        <v>35563</v>
      </c>
      <c r="C18" s="13">
        <f>VLOOKUP(A18,'RCG INTERS '!A18:K184,11,)</f>
        <v>2.7164988381099922</v>
      </c>
      <c r="D18" s="13">
        <f>VLOOKUP(A18,'RCG INTERS '!A18:I142,9,)</f>
        <v>4.550735863671572</v>
      </c>
      <c r="E18" s="13">
        <f t="shared" ref="E18" si="4">(J18-J17)*100/J17</f>
        <v>-0.62336367036529106</v>
      </c>
      <c r="F18" s="13">
        <f t="shared" si="3"/>
        <v>-1.2104436916466992</v>
      </c>
      <c r="G18" s="13">
        <f t="shared" si="0"/>
        <v>0.85309246016810936</v>
      </c>
      <c r="H18" s="9">
        <v>24089</v>
      </c>
      <c r="I18" s="9">
        <v>23885</v>
      </c>
      <c r="J18" s="9">
        <v>23913</v>
      </c>
      <c r="K18" t="s">
        <v>21</v>
      </c>
    </row>
    <row r="19" spans="1:11" ht="15.5" x14ac:dyDescent="0.35">
      <c r="A19" s="3">
        <f t="shared" si="1"/>
        <v>46169</v>
      </c>
      <c r="B19" s="9">
        <f>VLOOKUP(A19,'RCG INTERS '!A19:B78,2,)</f>
        <v>16163</v>
      </c>
      <c r="C19" s="13">
        <f>VLOOKUP(A19,'RCG INTERS '!A19:K185,11,)</f>
        <v>1.2137877614252517</v>
      </c>
      <c r="D19" s="13">
        <f>VLOOKUP(A19,'RCG INTERS '!A19:I143,9,)</f>
        <v>5.7645236250968246</v>
      </c>
      <c r="E19" s="13">
        <f t="shared" ref="E19:E53" si="5">(J19-J18)*100/J18</f>
        <v>0.34709154016643667</v>
      </c>
      <c r="F19" s="13">
        <f t="shared" si="3"/>
        <v>-0.8675534991324465</v>
      </c>
      <c r="G19" s="13">
        <f t="shared" si="0"/>
        <v>0.52092015335889319</v>
      </c>
      <c r="H19" s="9">
        <v>24045</v>
      </c>
      <c r="I19" s="9">
        <v>23920</v>
      </c>
      <c r="J19" s="9">
        <v>23996</v>
      </c>
    </row>
    <row r="20" spans="1:11" ht="15.5" x14ac:dyDescent="0.35">
      <c r="A20" s="3">
        <v>46171</v>
      </c>
      <c r="B20" s="9">
        <f>VLOOKUP(A20,'RCG INTERS '!A20:B79,2,)</f>
        <v>25419</v>
      </c>
      <c r="C20" s="13">
        <f>VLOOKUP(A20,'RCG INTERS '!A20:K186,11,)</f>
        <v>1.9307513555383424</v>
      </c>
      <c r="D20" s="13">
        <f>VLOOKUP(A20,'RCG INTERS '!A20:I144,9,)</f>
        <v>7.6952749806351664</v>
      </c>
      <c r="E20" s="13">
        <f t="shared" si="5"/>
        <v>-1.0335055842640439</v>
      </c>
      <c r="F20" s="13">
        <f t="shared" si="3"/>
        <v>-1.8920928695364785</v>
      </c>
      <c r="G20" s="13">
        <f t="shared" si="0"/>
        <v>1.4906518443658414</v>
      </c>
      <c r="H20" s="9">
        <v>24065</v>
      </c>
      <c r="I20" s="9">
        <v>23711</v>
      </c>
      <c r="J20" s="9">
        <v>23748</v>
      </c>
    </row>
    <row r="21" spans="1:11" ht="15.5" x14ac:dyDescent="0.35">
      <c r="A21" s="3">
        <f>WORKDAY(A20,1)</f>
        <v>46174</v>
      </c>
      <c r="B21" s="9">
        <f>VLOOKUP(A21,'RCG INTERS '!A21:B80,2,)</f>
        <v>-24392</v>
      </c>
      <c r="C21" s="13">
        <f>VLOOKUP(A21,'RCG INTERS '!A21:K187,11,)</f>
        <v>-1.9275755228505034</v>
      </c>
      <c r="D21" s="13">
        <f>VLOOKUP(A21,'RCG INTERS '!A21:I145,9,)</f>
        <v>5.767699457784663</v>
      </c>
      <c r="E21" s="13">
        <f>(J21-J20)*100/J20</f>
        <v>-1.2043119420582786</v>
      </c>
      <c r="F21" s="13">
        <f t="shared" si="3"/>
        <v>-3.0736181112120962</v>
      </c>
      <c r="G21" s="13">
        <f t="shared" si="0"/>
        <v>1.4619384536697639</v>
      </c>
      <c r="H21" s="9">
        <v>23779</v>
      </c>
      <c r="I21" s="9">
        <v>23436</v>
      </c>
      <c r="J21" s="9">
        <v>23462</v>
      </c>
    </row>
    <row r="22" spans="1:11" ht="15.5" x14ac:dyDescent="0.35">
      <c r="A22" s="3">
        <f t="shared" si="1"/>
        <v>46175</v>
      </c>
      <c r="B22" s="9">
        <f>VLOOKUP(A22,'RCG INTERS '!A22:B81,2,)</f>
        <v>52803</v>
      </c>
      <c r="C22" s="13">
        <f>VLOOKUP(A22,'RCG INTERS '!A22:K188,11,)</f>
        <v>4.0518977536793184</v>
      </c>
      <c r="D22" s="13">
        <f>VLOOKUP(A22,'RCG INTERS '!A22:I146,9,)</f>
        <v>9.8195972114639822</v>
      </c>
      <c r="E22" s="13">
        <f t="shared" si="5"/>
        <v>0.600971784161623</v>
      </c>
      <c r="F22" s="13">
        <f t="shared" si="3"/>
        <v>-2.4911179046517393</v>
      </c>
      <c r="G22" s="13">
        <f t="shared" si="0"/>
        <v>1.5421768419268738</v>
      </c>
      <c r="H22" s="9">
        <v>23650</v>
      </c>
      <c r="I22" s="9">
        <v>23286</v>
      </c>
      <c r="J22" s="9">
        <v>23603</v>
      </c>
    </row>
    <row r="23" spans="1:11" ht="15.5" x14ac:dyDescent="0.35">
      <c r="A23" s="3">
        <f t="shared" si="1"/>
        <v>46176</v>
      </c>
      <c r="B23" s="9">
        <f>VLOOKUP(A23,'RCG INTERS '!A23:B82,2,)</f>
        <v>16344</v>
      </c>
      <c r="C23" s="13">
        <f>VLOOKUP(A23,'RCG INTERS '!A23:K189,11,)</f>
        <v>1.2278079008520526</v>
      </c>
      <c r="D23" s="13">
        <f>VLOOKUP(A23,'RCG INTERS '!A23:I147,9,)</f>
        <v>11.047405112316033</v>
      </c>
      <c r="E23" s="13">
        <f t="shared" si="5"/>
        <v>-0.37283396178451894</v>
      </c>
      <c r="F23" s="13">
        <f t="shared" si="3"/>
        <v>-2.8546641328596216</v>
      </c>
      <c r="G23" s="13">
        <f t="shared" si="0"/>
        <v>1.5649585371039763</v>
      </c>
      <c r="H23" s="9">
        <v>23580</v>
      </c>
      <c r="I23" s="9">
        <v>23212</v>
      </c>
      <c r="J23" s="9">
        <v>23515</v>
      </c>
    </row>
    <row r="24" spans="1:11" ht="15.5" x14ac:dyDescent="0.35">
      <c r="A24" s="3">
        <f t="shared" si="1"/>
        <v>46177</v>
      </c>
      <c r="B24" s="9">
        <f>VLOOKUP(A24,'RCG INTERS '!A24:B83,2,)</f>
        <v>23424</v>
      </c>
      <c r="C24" s="13">
        <f>VLOOKUP(A24,'RCG INTERS '!A24:K190,11,)</f>
        <v>1.7762199845081332</v>
      </c>
      <c r="D24" s="13">
        <f>VLOOKUP(A24,'RCG INTERS '!A24:I148,9,)</f>
        <v>12.823625096824168</v>
      </c>
      <c r="E24" s="13">
        <f t="shared" si="5"/>
        <v>-1.7010418881564959E-2</v>
      </c>
      <c r="F24" s="13">
        <f t="shared" si="3"/>
        <v>-2.8711889614145254</v>
      </c>
      <c r="G24" s="13">
        <f t="shared" si="0"/>
        <v>0.92297222576666238</v>
      </c>
      <c r="H24" s="9">
        <v>23543</v>
      </c>
      <c r="I24" s="9">
        <v>23326</v>
      </c>
      <c r="J24" s="9">
        <v>23511</v>
      </c>
    </row>
    <row r="25" spans="1:11" ht="15.5" x14ac:dyDescent="0.35">
      <c r="A25" s="3">
        <f t="shared" si="1"/>
        <v>46178</v>
      </c>
      <c r="B25" s="9">
        <f>VLOOKUP(A25,'RCG INTERS '!A25:B84,2,)</f>
        <v>-2660</v>
      </c>
      <c r="C25" s="13">
        <f>VLOOKUP(A25,'RCG INTERS '!A25:K191,11,)</f>
        <v>-0.24422927962819518</v>
      </c>
      <c r="D25" s="13">
        <f>VLOOKUP(A25,'RCG INTERS '!A25:I149,9,)</f>
        <v>12.579395817195973</v>
      </c>
      <c r="E25" s="13">
        <f t="shared" si="5"/>
        <v>-0.2551996937603675</v>
      </c>
      <c r="F25" s="13">
        <f t="shared" si="3"/>
        <v>-3.1190613897380817</v>
      </c>
      <c r="G25" s="13">
        <f t="shared" si="0"/>
        <v>0.5927252569186815</v>
      </c>
      <c r="H25" s="9">
        <v>23590</v>
      </c>
      <c r="I25" s="9">
        <v>23451</v>
      </c>
      <c r="J25" s="9">
        <v>23451</v>
      </c>
    </row>
    <row r="26" spans="1:11" ht="15.5" x14ac:dyDescent="0.35">
      <c r="A26" s="3">
        <f t="shared" si="1"/>
        <v>46181</v>
      </c>
      <c r="B26" s="9">
        <f>VLOOKUP(A26,'RCG INTERS '!A26:B85,2,)</f>
        <v>-56253</v>
      </c>
      <c r="C26" s="13">
        <f>VLOOKUP(A26,'RCG INTERS '!A26:K192,11,)</f>
        <v>-4.3955073586367162</v>
      </c>
      <c r="D26" s="13">
        <f>VLOOKUP(A26,'RCG INTERS '!A26:I150,9,)</f>
        <v>8.183888458559256</v>
      </c>
      <c r="E26" s="13">
        <f t="shared" si="5"/>
        <v>-1.1811863033559336</v>
      </c>
      <c r="F26" s="13">
        <f t="shared" si="3"/>
        <v>-4.2634057671651657</v>
      </c>
      <c r="G26" s="13">
        <f t="shared" si="0"/>
        <v>0.91050315008198845</v>
      </c>
      <c r="H26" s="9">
        <v>23353</v>
      </c>
      <c r="I26" s="9">
        <v>23142</v>
      </c>
      <c r="J26" s="9">
        <v>23174</v>
      </c>
    </row>
    <row r="27" spans="1:11" ht="15.5" x14ac:dyDescent="0.35">
      <c r="A27" s="3">
        <f t="shared" si="1"/>
        <v>46182</v>
      </c>
      <c r="B27" s="9">
        <f>VLOOKUP(A27,'RCG INTERS '!A27:B86,2,)</f>
        <v>59594</v>
      </c>
      <c r="C27" s="13">
        <f>VLOOKUP(A27,'RCG INTERS '!A27:K193,11,)</f>
        <v>4.5779240898528268</v>
      </c>
      <c r="D27" s="13">
        <f>VLOOKUP(A27,'RCG INTERS '!A27:I151,9,)</f>
        <v>12.761812548412083</v>
      </c>
      <c r="E27" s="13">
        <f t="shared" si="5"/>
        <v>0.67748338655389662</v>
      </c>
      <c r="F27" s="13">
        <f t="shared" ref="F27:F53" si="6">E26+E27</f>
        <v>-0.50370291680203694</v>
      </c>
      <c r="G27" s="13">
        <f t="shared" si="0"/>
        <v>0.87437315160087437</v>
      </c>
      <c r="H27" s="9">
        <v>23349</v>
      </c>
      <c r="I27" s="9">
        <v>23145</v>
      </c>
      <c r="J27" s="9">
        <v>23331</v>
      </c>
    </row>
    <row r="28" spans="1:11" ht="15.5" x14ac:dyDescent="0.35">
      <c r="A28" s="3">
        <f t="shared" si="1"/>
        <v>46183</v>
      </c>
      <c r="B28" s="9">
        <f>VLOOKUP(A28,'RCG INTERS '!A28:B87,2,)</f>
        <v>3548</v>
      </c>
      <c r="C28" s="13">
        <f>VLOOKUP(A28,'RCG INTERS '!A28:K194,11,)</f>
        <v>0.23663826491092177</v>
      </c>
      <c r="D28" s="13">
        <f>VLOOKUP(A28,'RCG INTERS '!A28:I152,9,)</f>
        <v>12.998450813323005</v>
      </c>
      <c r="E28" s="13">
        <f t="shared" si="5"/>
        <v>-0.39003900390039004</v>
      </c>
      <c r="F28" s="13">
        <f t="shared" si="6"/>
        <v>0.28744438265350658</v>
      </c>
      <c r="G28" s="13">
        <f t="shared" si="0"/>
        <v>1.0111876075731498</v>
      </c>
      <c r="H28" s="9">
        <v>23456</v>
      </c>
      <c r="I28" s="9">
        <v>23221</v>
      </c>
      <c r="J28" s="9">
        <v>23240</v>
      </c>
    </row>
    <row r="29" spans="1:11" ht="15.5" x14ac:dyDescent="0.35">
      <c r="A29" s="3">
        <f t="shared" si="1"/>
        <v>46184</v>
      </c>
      <c r="B29" s="9">
        <f>VLOOKUP(A29,'RCG INTERS '!A29:B88,2,)</f>
        <v>3017</v>
      </c>
      <c r="C29" s="13">
        <f>VLOOKUP(A29,'RCG INTERS '!A29:K195,11,)</f>
        <v>0.19550735863671573</v>
      </c>
      <c r="D29" s="13">
        <f>VLOOKUP(A29,'RCG INTERS '!A29:I153,9,)</f>
        <v>13.193958171959721</v>
      </c>
      <c r="E29" s="13">
        <f t="shared" si="5"/>
        <v>-0.1721170395869191</v>
      </c>
      <c r="F29" s="13">
        <f t="shared" si="6"/>
        <v>-0.56215604348730919</v>
      </c>
      <c r="G29" s="13">
        <f t="shared" si="0"/>
        <v>1.1120689655172413</v>
      </c>
      <c r="H29" s="9">
        <v>23363</v>
      </c>
      <c r="I29" s="9">
        <v>23105</v>
      </c>
      <c r="J29" s="9">
        <v>23200</v>
      </c>
    </row>
    <row r="30" spans="1:11" ht="15.5" x14ac:dyDescent="0.35">
      <c r="A30" s="3">
        <f t="shared" si="1"/>
        <v>46185</v>
      </c>
      <c r="B30" s="9">
        <f>VLOOKUP(A30,'RCG INTERS '!A30:B89,2,)</f>
        <v>-184138</v>
      </c>
      <c r="C30" s="13">
        <f>VLOOKUP(A30,'RCG INTERS '!A30:K196,11,)</f>
        <v>-14.301394268009295</v>
      </c>
      <c r="D30" s="13">
        <f>VLOOKUP(A30,'RCG INTERS '!A30:I154,9,)</f>
        <v>-1.1074360960495739</v>
      </c>
      <c r="E30" s="13">
        <f t="shared" si="5"/>
        <v>-100</v>
      </c>
      <c r="F30" s="13">
        <f t="shared" si="6"/>
        <v>-100.17211703958692</v>
      </c>
      <c r="G30" s="13" t="e">
        <f t="shared" si="0"/>
        <v>#DIV/0!</v>
      </c>
      <c r="H30" s="9"/>
      <c r="I30" s="9"/>
      <c r="J30" s="9"/>
    </row>
    <row r="31" spans="1:11" ht="15.5" x14ac:dyDescent="0.35">
      <c r="A31" s="3">
        <f t="shared" si="1"/>
        <v>46188</v>
      </c>
      <c r="B31" s="9" t="str">
        <f>VLOOKUP(A31,'RCG INTERS '!A31:B90,2,)</f>
        <v/>
      </c>
      <c r="C31" s="13" t="e">
        <f>VLOOKUP(A31,'RCG INTERS '!A31:K197,11,)</f>
        <v>#VALUE!</v>
      </c>
      <c r="D31" s="13" t="e">
        <f>VLOOKUP(A31,'RCG INTERS '!A31:I155,9,)</f>
        <v>#DIV/0!</v>
      </c>
      <c r="E31" s="13" t="e">
        <f t="shared" si="5"/>
        <v>#DIV/0!</v>
      </c>
      <c r="F31" s="13" t="e">
        <f t="shared" si="6"/>
        <v>#DIV/0!</v>
      </c>
      <c r="G31" s="13" t="e">
        <f t="shared" si="0"/>
        <v>#DIV/0!</v>
      </c>
      <c r="H31" s="9"/>
      <c r="I31" s="9"/>
      <c r="J31" s="9"/>
    </row>
    <row r="32" spans="1:11" ht="15.5" x14ac:dyDescent="0.35">
      <c r="A32" s="3">
        <f t="shared" si="1"/>
        <v>46189</v>
      </c>
      <c r="B32" s="9" t="str">
        <f>VLOOKUP(A32,'RCG INTERS '!A32:B91,2,)</f>
        <v/>
      </c>
      <c r="C32" s="13" t="e">
        <f>VLOOKUP(A32,'RCG INTERS '!A32:K198,11,)</f>
        <v>#VALUE!</v>
      </c>
      <c r="D32" s="13" t="e">
        <f>VLOOKUP(A32,'RCG INTERS '!A32:I156,9,)</f>
        <v>#DIV/0!</v>
      </c>
      <c r="E32" s="13" t="e">
        <f t="shared" si="5"/>
        <v>#DIV/0!</v>
      </c>
      <c r="F32" s="13" t="e">
        <f t="shared" si="6"/>
        <v>#DIV/0!</v>
      </c>
      <c r="G32" s="13" t="e">
        <f t="shared" si="0"/>
        <v>#DIV/0!</v>
      </c>
      <c r="H32" s="9"/>
      <c r="I32" s="9"/>
      <c r="J32" s="9"/>
    </row>
    <row r="33" spans="1:10" ht="15.5" x14ac:dyDescent="0.35">
      <c r="A33" s="3">
        <f t="shared" si="1"/>
        <v>46190</v>
      </c>
      <c r="B33" s="9" t="str">
        <f>VLOOKUP(A33,'RCG INTERS '!A33:B92,2,)</f>
        <v/>
      </c>
      <c r="C33" s="13" t="e">
        <f>VLOOKUP(A33,'RCG INTERS '!A33:K199,11,)</f>
        <v>#VALUE!</v>
      </c>
      <c r="D33" s="13" t="e">
        <f>VLOOKUP(A33,'RCG INTERS '!A33:I157,9,)</f>
        <v>#DIV/0!</v>
      </c>
      <c r="E33" s="13" t="e">
        <f t="shared" si="5"/>
        <v>#DIV/0!</v>
      </c>
      <c r="F33" s="13" t="e">
        <f t="shared" si="6"/>
        <v>#DIV/0!</v>
      </c>
      <c r="G33" s="13" t="e">
        <f t="shared" si="0"/>
        <v>#DIV/0!</v>
      </c>
      <c r="H33" s="9"/>
      <c r="I33" s="9"/>
      <c r="J33" s="9"/>
    </row>
    <row r="34" spans="1:10" ht="15.5" x14ac:dyDescent="0.35">
      <c r="A34" s="3">
        <f t="shared" si="1"/>
        <v>46191</v>
      </c>
      <c r="B34" s="9" t="str">
        <f>VLOOKUP(A34,'RCG INTERS '!A34:B93,2,)</f>
        <v/>
      </c>
      <c r="C34" s="13" t="e">
        <f>VLOOKUP(A34,'RCG INTERS '!A34:K200,11,)</f>
        <v>#VALUE!</v>
      </c>
      <c r="D34" s="13" t="e">
        <f>VLOOKUP(A34,'RCG INTERS '!A34:I158,9,)</f>
        <v>#DIV/0!</v>
      </c>
      <c r="E34" s="13" t="e">
        <f t="shared" si="5"/>
        <v>#DIV/0!</v>
      </c>
      <c r="F34" s="13" t="e">
        <f t="shared" si="6"/>
        <v>#DIV/0!</v>
      </c>
      <c r="G34" s="13" t="e">
        <f t="shared" si="0"/>
        <v>#DIV/0!</v>
      </c>
      <c r="H34" s="9"/>
      <c r="I34" s="9"/>
      <c r="J34" s="9"/>
    </row>
    <row r="35" spans="1:10" ht="15.5" x14ac:dyDescent="0.35">
      <c r="A35" s="3">
        <f t="shared" si="1"/>
        <v>46192</v>
      </c>
      <c r="B35" s="9" t="str">
        <f>VLOOKUP(A35,'RCG INTERS '!A35:B94,2,)</f>
        <v/>
      </c>
      <c r="C35" s="13" t="e">
        <f>VLOOKUP(A35,'RCG INTERS '!A35:K201,11,)</f>
        <v>#VALUE!</v>
      </c>
      <c r="D35" s="13" t="e">
        <f>VLOOKUP(A35,'RCG INTERS '!A35:I159,9,)</f>
        <v>#DIV/0!</v>
      </c>
      <c r="E35" s="13" t="e">
        <f t="shared" si="5"/>
        <v>#DIV/0!</v>
      </c>
      <c r="F35" s="13" t="e">
        <f t="shared" si="6"/>
        <v>#DIV/0!</v>
      </c>
      <c r="G35" s="13" t="e">
        <f t="shared" si="0"/>
        <v>#DIV/0!</v>
      </c>
      <c r="H35" s="9"/>
      <c r="I35" s="9"/>
      <c r="J35" s="9"/>
    </row>
    <row r="36" spans="1:10" ht="15.5" x14ac:dyDescent="0.35">
      <c r="A36" s="3">
        <f t="shared" si="1"/>
        <v>46195</v>
      </c>
      <c r="B36" s="9" t="str">
        <f>VLOOKUP(A36,'RCG INTERS '!A36:B95,2,)</f>
        <v/>
      </c>
      <c r="C36" s="13" t="e">
        <f>VLOOKUP(A36,'RCG INTERS '!A36:K202,11,)</f>
        <v>#VALUE!</v>
      </c>
      <c r="D36" s="13" t="e">
        <f>VLOOKUP(A36,'RCG INTERS '!A36:I160,9,)</f>
        <v>#DIV/0!</v>
      </c>
      <c r="E36" s="13" t="e">
        <f t="shared" si="5"/>
        <v>#DIV/0!</v>
      </c>
      <c r="F36" s="13" t="e">
        <f t="shared" si="6"/>
        <v>#DIV/0!</v>
      </c>
      <c r="G36" s="13" t="e">
        <f t="shared" si="0"/>
        <v>#DIV/0!</v>
      </c>
      <c r="H36" s="9"/>
      <c r="I36" s="9"/>
      <c r="J36" s="9"/>
    </row>
    <row r="37" spans="1:10" ht="15.5" x14ac:dyDescent="0.35">
      <c r="A37" s="3">
        <f t="shared" si="1"/>
        <v>46196</v>
      </c>
      <c r="B37" s="9" t="str">
        <f>VLOOKUP(A37,'RCG INTERS '!A37:B96,2,)</f>
        <v/>
      </c>
      <c r="C37" s="13" t="e">
        <f>VLOOKUP(A37,'RCG INTERS '!A37:K203,11,)</f>
        <v>#VALUE!</v>
      </c>
      <c r="D37" s="13" t="e">
        <f>VLOOKUP(A37,'RCG INTERS '!A37:I161,9,)</f>
        <v>#DIV/0!</v>
      </c>
      <c r="E37" s="13" t="e">
        <f t="shared" si="5"/>
        <v>#DIV/0!</v>
      </c>
      <c r="F37" s="13" t="e">
        <f t="shared" si="6"/>
        <v>#DIV/0!</v>
      </c>
      <c r="G37" s="13" t="e">
        <f t="shared" si="0"/>
        <v>#DIV/0!</v>
      </c>
      <c r="H37" s="9"/>
      <c r="I37" s="9"/>
      <c r="J37" s="9"/>
    </row>
    <row r="38" spans="1:10" ht="15.5" x14ac:dyDescent="0.35">
      <c r="A38" s="3">
        <f t="shared" ref="A38:A41" si="7">A37+1</f>
        <v>46197</v>
      </c>
      <c r="B38" s="9"/>
      <c r="C38" s="13" t="e">
        <f>VLOOKUP(A38,'RCG INTERS '!A38:K204,11,)</f>
        <v>#VALUE!</v>
      </c>
      <c r="D38" s="13" t="e">
        <f>VLOOKUP(A38,'RCG INTERS '!A38:I162,9,)</f>
        <v>#DIV/0!</v>
      </c>
      <c r="E38" s="13" t="e">
        <f t="shared" si="5"/>
        <v>#DIV/0!</v>
      </c>
      <c r="F38" s="13" t="e">
        <f t="shared" si="6"/>
        <v>#DIV/0!</v>
      </c>
      <c r="G38" s="13" t="e">
        <f t="shared" si="0"/>
        <v>#DIV/0!</v>
      </c>
      <c r="H38" s="9"/>
      <c r="I38" s="9"/>
      <c r="J38" s="9"/>
    </row>
    <row r="39" spans="1:10" ht="15.5" x14ac:dyDescent="0.35">
      <c r="A39" s="3">
        <f t="shared" si="7"/>
        <v>46198</v>
      </c>
      <c r="B39" s="9"/>
      <c r="C39" s="13" t="e">
        <f>VLOOKUP(A39,'RCG INTERS '!A39:K205,11,)</f>
        <v>#VALUE!</v>
      </c>
      <c r="D39" s="13" t="e">
        <f>VLOOKUP(A39,'RCG INTERS '!A39:I163,9,)</f>
        <v>#DIV/0!</v>
      </c>
      <c r="E39" s="13" t="e">
        <f t="shared" si="5"/>
        <v>#DIV/0!</v>
      </c>
      <c r="F39" s="13" t="e">
        <f t="shared" si="6"/>
        <v>#DIV/0!</v>
      </c>
      <c r="G39" s="13" t="e">
        <f t="shared" si="0"/>
        <v>#DIV/0!</v>
      </c>
      <c r="H39" s="9"/>
      <c r="I39" s="9"/>
      <c r="J39" s="9"/>
    </row>
    <row r="40" spans="1:10" ht="15.5" x14ac:dyDescent="0.35">
      <c r="A40" s="3">
        <f t="shared" si="7"/>
        <v>46199</v>
      </c>
      <c r="B40" s="9"/>
      <c r="C40" s="13" t="e">
        <f>VLOOKUP(A40,'RCG INTERS '!A40:K206,11,)</f>
        <v>#VALUE!</v>
      </c>
      <c r="D40" s="13" t="e">
        <f>VLOOKUP(A40,'RCG INTERS '!A40:I164,9,)</f>
        <v>#DIV/0!</v>
      </c>
      <c r="E40" s="13" t="e">
        <f t="shared" si="5"/>
        <v>#DIV/0!</v>
      </c>
      <c r="F40" s="13" t="e">
        <f t="shared" si="6"/>
        <v>#DIV/0!</v>
      </c>
      <c r="G40" s="13" t="e">
        <f t="shared" si="0"/>
        <v>#DIV/0!</v>
      </c>
      <c r="H40" s="9"/>
      <c r="I40" s="9"/>
      <c r="J40" s="9"/>
    </row>
    <row r="41" spans="1:10" ht="15.5" x14ac:dyDescent="0.35">
      <c r="A41" s="3">
        <f t="shared" si="7"/>
        <v>46200</v>
      </c>
      <c r="B41" s="9"/>
      <c r="C41" s="13" t="e">
        <f>VLOOKUP(A41,'RCG INTERS '!A41:K207,11,)</f>
        <v>#VALUE!</v>
      </c>
      <c r="D41" s="13" t="e">
        <f>VLOOKUP(A41,'RCG INTERS '!A41:I165,9,)</f>
        <v>#DIV/0!</v>
      </c>
      <c r="E41" s="13" t="e">
        <f t="shared" si="5"/>
        <v>#DIV/0!</v>
      </c>
      <c r="F41" s="13" t="e">
        <f t="shared" si="6"/>
        <v>#DIV/0!</v>
      </c>
      <c r="G41" s="13" t="e">
        <f t="shared" si="0"/>
        <v>#DIV/0!</v>
      </c>
      <c r="H41" s="9"/>
      <c r="I41" s="9"/>
      <c r="J41" s="9"/>
    </row>
    <row r="42" spans="1:10" x14ac:dyDescent="0.3">
      <c r="A42" s="14"/>
      <c r="C42" s="13" t="e">
        <f>VLOOKUP(A42,'RCG INTERS '!A42:K208,11,)</f>
        <v>#N/A</v>
      </c>
      <c r="D42" s="13" t="e">
        <f>VLOOKUP(A42,'RCG INTERS '!A42:I166,9,)</f>
        <v>#N/A</v>
      </c>
      <c r="E42" s="13" t="e">
        <f t="shared" si="5"/>
        <v>#DIV/0!</v>
      </c>
      <c r="F42" s="13" t="e">
        <f t="shared" si="6"/>
        <v>#DIV/0!</v>
      </c>
      <c r="G42" s="13" t="e">
        <f t="shared" si="0"/>
        <v>#DIV/0!</v>
      </c>
    </row>
    <row r="43" spans="1:10" x14ac:dyDescent="0.3">
      <c r="A43" s="10"/>
      <c r="C43" s="13" t="e">
        <f>VLOOKUP(A43,'RCG INTERS '!A43:K209,11,)</f>
        <v>#N/A</v>
      </c>
      <c r="D43" s="13" t="e">
        <f>VLOOKUP(A43,'RCG INTERS '!A43:I167,9,)</f>
        <v>#N/A</v>
      </c>
      <c r="E43" s="13" t="e">
        <f t="shared" si="5"/>
        <v>#DIV/0!</v>
      </c>
      <c r="F43" s="13" t="e">
        <f t="shared" si="6"/>
        <v>#DIV/0!</v>
      </c>
      <c r="G43" s="13" t="e">
        <f t="shared" si="0"/>
        <v>#DIV/0!</v>
      </c>
    </row>
    <row r="44" spans="1:10" x14ac:dyDescent="0.3">
      <c r="A44" s="10"/>
      <c r="C44" s="13" t="e">
        <f>VLOOKUP(A44,'RCG INTERS '!A44:K210,11,)</f>
        <v>#N/A</v>
      </c>
      <c r="D44" s="13" t="e">
        <f>VLOOKUP(A44,'RCG INTERS '!A44:I168,9,)</f>
        <v>#N/A</v>
      </c>
      <c r="E44" s="13" t="e">
        <f t="shared" si="5"/>
        <v>#DIV/0!</v>
      </c>
      <c r="F44" s="13" t="e">
        <f t="shared" si="6"/>
        <v>#DIV/0!</v>
      </c>
      <c r="G44" s="13" t="e">
        <f t="shared" si="0"/>
        <v>#DIV/0!</v>
      </c>
    </row>
    <row r="45" spans="1:10" x14ac:dyDescent="0.3">
      <c r="A45" s="10"/>
      <c r="C45" s="13" t="e">
        <f>VLOOKUP(A45,'RCG INTERS '!A45:K211,11,)</f>
        <v>#N/A</v>
      </c>
      <c r="D45" s="13" t="e">
        <f>VLOOKUP(A45,'RCG INTERS '!A45:I169,9,)</f>
        <v>#N/A</v>
      </c>
      <c r="E45" s="13" t="e">
        <f t="shared" si="5"/>
        <v>#DIV/0!</v>
      </c>
      <c r="F45" s="13" t="e">
        <f t="shared" si="6"/>
        <v>#DIV/0!</v>
      </c>
      <c r="G45" s="13" t="e">
        <f t="shared" si="0"/>
        <v>#DIV/0!</v>
      </c>
    </row>
    <row r="46" spans="1:10" x14ac:dyDescent="0.3">
      <c r="A46" s="10"/>
      <c r="C46" s="13" t="e">
        <f>VLOOKUP(A46,'RCG INTERS '!A46:K212,11,)</f>
        <v>#N/A</v>
      </c>
      <c r="D46" s="13" t="e">
        <f>VLOOKUP(A46,'RCG INTERS '!A46:I170,9,)</f>
        <v>#N/A</v>
      </c>
      <c r="E46" s="13" t="e">
        <f t="shared" si="5"/>
        <v>#DIV/0!</v>
      </c>
      <c r="F46" s="13" t="e">
        <f t="shared" si="6"/>
        <v>#DIV/0!</v>
      </c>
      <c r="G46" s="13" t="e">
        <f t="shared" si="0"/>
        <v>#DIV/0!</v>
      </c>
    </row>
    <row r="47" spans="1:10" x14ac:dyDescent="0.3">
      <c r="C47" s="13" t="e">
        <f>VLOOKUP(A47,'RCG INTERS '!A47:K213,11,)</f>
        <v>#N/A</v>
      </c>
      <c r="D47" s="13" t="e">
        <f>VLOOKUP(A47,'RCG INTERS '!A47:I171,9,)</f>
        <v>#N/A</v>
      </c>
      <c r="E47" s="13" t="e">
        <f t="shared" si="5"/>
        <v>#DIV/0!</v>
      </c>
      <c r="F47" s="13" t="e">
        <f t="shared" si="6"/>
        <v>#DIV/0!</v>
      </c>
      <c r="G47" s="13" t="e">
        <f t="shared" si="0"/>
        <v>#DIV/0!</v>
      </c>
    </row>
    <row r="48" spans="1:10" x14ac:dyDescent="0.3">
      <c r="C48" s="13" t="e">
        <f>VLOOKUP(A48,'RCG INTERS '!A48:K214,11,)</f>
        <v>#N/A</v>
      </c>
      <c r="D48" s="13" t="e">
        <f>VLOOKUP(A48,'RCG INTERS '!A48:I172,9,)</f>
        <v>#N/A</v>
      </c>
      <c r="E48" s="13" t="e">
        <f t="shared" si="5"/>
        <v>#DIV/0!</v>
      </c>
      <c r="F48" s="13" t="e">
        <f t="shared" si="6"/>
        <v>#DIV/0!</v>
      </c>
      <c r="G48" s="13" t="e">
        <f t="shared" si="0"/>
        <v>#DIV/0!</v>
      </c>
    </row>
    <row r="49" spans="3:7" x14ac:dyDescent="0.3">
      <c r="C49" s="13" t="e">
        <f>VLOOKUP(A49,'RCG INTERS '!A49:K215,11,)</f>
        <v>#N/A</v>
      </c>
      <c r="D49" s="13" t="e">
        <f>VLOOKUP(A49,'RCG INTERS '!A49:I173,9,)</f>
        <v>#N/A</v>
      </c>
      <c r="E49" s="13" t="e">
        <f t="shared" si="5"/>
        <v>#DIV/0!</v>
      </c>
      <c r="F49" s="13" t="e">
        <f t="shared" si="6"/>
        <v>#DIV/0!</v>
      </c>
      <c r="G49" s="13" t="e">
        <f t="shared" si="0"/>
        <v>#DIV/0!</v>
      </c>
    </row>
    <row r="50" spans="3:7" x14ac:dyDescent="0.3">
      <c r="C50" s="13" t="e">
        <f>VLOOKUP(A50,'RCG INTERS '!A50:K216,11,)</f>
        <v>#N/A</v>
      </c>
      <c r="D50" s="13" t="e">
        <f>VLOOKUP(A50,'RCG INTERS '!A50:I174,9,)</f>
        <v>#N/A</v>
      </c>
      <c r="E50" s="13" t="e">
        <f t="shared" si="5"/>
        <v>#DIV/0!</v>
      </c>
      <c r="F50" s="13" t="e">
        <f t="shared" si="6"/>
        <v>#DIV/0!</v>
      </c>
      <c r="G50" s="13" t="e">
        <f t="shared" si="0"/>
        <v>#DIV/0!</v>
      </c>
    </row>
    <row r="51" spans="3:7" x14ac:dyDescent="0.3">
      <c r="C51" s="13" t="e">
        <f>VLOOKUP(A51,'RCG INTERS '!A51:K217,11,)</f>
        <v>#N/A</v>
      </c>
      <c r="D51" s="13" t="e">
        <f>VLOOKUP(A51,'RCG INTERS '!A51:I175,9,)</f>
        <v>#N/A</v>
      </c>
      <c r="E51" s="13" t="e">
        <f t="shared" si="5"/>
        <v>#DIV/0!</v>
      </c>
      <c r="F51" s="13" t="e">
        <f t="shared" si="6"/>
        <v>#DIV/0!</v>
      </c>
      <c r="G51" s="13" t="e">
        <f t="shared" si="0"/>
        <v>#DIV/0!</v>
      </c>
    </row>
    <row r="52" spans="3:7" x14ac:dyDescent="0.3">
      <c r="C52" s="13" t="e">
        <f>VLOOKUP(A52,'RCG INTERS '!A52:K218,11,)</f>
        <v>#N/A</v>
      </c>
      <c r="D52" s="13" t="e">
        <f>VLOOKUP(A52,'RCG INTERS '!A52:I176,9,)</f>
        <v>#N/A</v>
      </c>
      <c r="E52" s="13" t="e">
        <f t="shared" si="5"/>
        <v>#DIV/0!</v>
      </c>
      <c r="F52" s="13" t="e">
        <f t="shared" si="6"/>
        <v>#DIV/0!</v>
      </c>
      <c r="G52" s="13" t="e">
        <f t="shared" si="0"/>
        <v>#DIV/0!</v>
      </c>
    </row>
    <row r="53" spans="3:7" x14ac:dyDescent="0.3">
      <c r="D53" s="13" t="e">
        <f>VLOOKUP(A53,'RCG INTERS '!A53:I177,9,)</f>
        <v>#N/A</v>
      </c>
      <c r="E53" s="13" t="e">
        <f t="shared" si="5"/>
        <v>#DIV/0!</v>
      </c>
      <c r="F53" s="13" t="e">
        <f t="shared" si="6"/>
        <v>#DIV/0!</v>
      </c>
      <c r="G53" s="13" t="e">
        <f t="shared" si="0"/>
        <v>#DIV/0!</v>
      </c>
    </row>
    <row r="54" spans="3:7" x14ac:dyDescent="0.3">
      <c r="D54" s="13" t="e">
        <f>VLOOKUP(A54,'RCG INTERS '!A54:I178,9,)</f>
        <v>#N/A</v>
      </c>
      <c r="G54" s="13" t="e">
        <f t="shared" si="0"/>
        <v>#DIV/0!</v>
      </c>
    </row>
    <row r="55" spans="3:7" x14ac:dyDescent="0.3">
      <c r="D55" s="13" t="e">
        <f>VLOOKUP(A55,'RCG INTERS '!A55:I179,9,)</f>
        <v>#N/A</v>
      </c>
    </row>
    <row r="56" spans="3:7" x14ac:dyDescent="0.3">
      <c r="D56" s="13" t="e">
        <f>VLOOKUP(A56,'RCG INTERS '!A56:I180,9,)</f>
        <v>#N/A</v>
      </c>
    </row>
    <row r="57" spans="3:7" x14ac:dyDescent="0.3">
      <c r="D57" s="13" t="e">
        <f>VLOOKUP(A57,'RCG INTERS '!A57:I181,9,)</f>
        <v>#N/A</v>
      </c>
    </row>
    <row r="58" spans="3:7" x14ac:dyDescent="0.3">
      <c r="D58" s="13" t="e">
        <f>VLOOKUP(A58,'RCG INTERS '!A58:I182,9,)</f>
        <v>#N/A</v>
      </c>
    </row>
    <row r="59" spans="3:7" x14ac:dyDescent="0.3">
      <c r="D59" s="13" t="e">
        <f>VLOOKUP(A59,'RCG INTERS '!A59:I183,9,)</f>
        <v>#N/A</v>
      </c>
    </row>
    <row r="60" spans="3:7" x14ac:dyDescent="0.3">
      <c r="D60" s="13" t="e">
        <f>VLOOKUP(A60,'RCG INTERS '!A60:I184,9,)</f>
        <v>#N/A</v>
      </c>
    </row>
    <row r="61" spans="3:7" x14ac:dyDescent="0.3">
      <c r="D61" s="13" t="e">
        <f>VLOOKUP(A61,'RCG INTERS '!A61:I185,9,)</f>
        <v>#N/A</v>
      </c>
    </row>
    <row r="62" spans="3:7" x14ac:dyDescent="0.3">
      <c r="D62" s="13" t="e">
        <f>VLOOKUP(A62,'RCG INTERS '!A62:I186,9,)</f>
        <v>#N/A</v>
      </c>
    </row>
    <row r="63" spans="3:7" x14ac:dyDescent="0.3">
      <c r="D63" s="13" t="e">
        <f>VLOOKUP(A63,'RCG INTERS '!A63:I187,9,)</f>
        <v>#N/A</v>
      </c>
    </row>
    <row r="64" spans="3:7" x14ac:dyDescent="0.3">
      <c r="D64" s="13" t="e">
        <f>VLOOKUP(A64,'RCG INTERS '!A64:I188,9,)</f>
        <v>#N/A</v>
      </c>
    </row>
    <row r="65" spans="4:4" x14ac:dyDescent="0.3">
      <c r="D65" s="13" t="e">
        <f>VLOOKUP(A65,'RCG INTERS '!A65:I189,9,)</f>
        <v>#N/A</v>
      </c>
    </row>
    <row r="66" spans="4:4" x14ac:dyDescent="0.3">
      <c r="D66" s="13" t="e">
        <f>VLOOKUP(A66,'RCG INTERS '!A66:I190,9,)</f>
        <v>#N/A</v>
      </c>
    </row>
    <row r="67" spans="4:4" x14ac:dyDescent="0.3">
      <c r="D67" s="13" t="e">
        <f>VLOOKUP(A67,'RCG INTERS '!A67:I191,9,)</f>
        <v>#N/A</v>
      </c>
    </row>
    <row r="68" spans="4:4" x14ac:dyDescent="0.3">
      <c r="D68" s="13" t="e">
        <f>VLOOKUP(A68,'RCG INTERS '!A68:I192,9,)</f>
        <v>#N/A</v>
      </c>
    </row>
    <row r="69" spans="4:4" x14ac:dyDescent="0.3">
      <c r="D69" s="13" t="e">
        <f>VLOOKUP(A69,'RCG INTERS '!A69:I193,9,)</f>
        <v>#N/A</v>
      </c>
    </row>
    <row r="70" spans="4:4" x14ac:dyDescent="0.3">
      <c r="D70" s="13" t="e">
        <f>VLOOKUP(A70,'RCG INTERS '!A70:I194,9,)</f>
        <v>#N/A</v>
      </c>
    </row>
    <row r="71" spans="4:4" x14ac:dyDescent="0.3">
      <c r="D71" s="13" t="e">
        <f>VLOOKUP(A71,'RCG INTERS '!A71:I195,9,)</f>
        <v>#N/A</v>
      </c>
    </row>
    <row r="72" spans="4:4" x14ac:dyDescent="0.3">
      <c r="D72" s="13" t="e">
        <f>VLOOKUP(A72,'RCG INTERS '!A72:I196,9,)</f>
        <v>#N/A</v>
      </c>
    </row>
    <row r="73" spans="4:4" x14ac:dyDescent="0.3">
      <c r="D73" s="13" t="e">
        <f>VLOOKUP(A73,'RCG INTERS '!A73:I197,9,)</f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45339-78EA-49D8-98C6-1E9BF585761C}">
  <dimension ref="A1:J110"/>
  <sheetViews>
    <sheetView workbookViewId="0">
      <selection activeCell="D7" sqref="D7"/>
    </sheetView>
  </sheetViews>
  <sheetFormatPr defaultRowHeight="14" x14ac:dyDescent="0.3"/>
  <cols>
    <col min="1" max="1" width="11.54296875" bestFit="1" customWidth="1"/>
    <col min="2" max="2" width="10.54296875" bestFit="1" customWidth="1"/>
    <col min="3" max="3" width="18.453125" bestFit="1" customWidth="1"/>
    <col min="4" max="4" width="27.81640625" bestFit="1" customWidth="1"/>
    <col min="5" max="5" width="29.26953125" bestFit="1" customWidth="1"/>
    <col min="6" max="6" width="24" bestFit="1" customWidth="1"/>
    <col min="7" max="7" width="15.26953125" bestFit="1" customWidth="1"/>
  </cols>
  <sheetData>
    <row r="1" spans="1:10" ht="15.5" x14ac:dyDescent="0.35">
      <c r="A1" s="3" t="s">
        <v>0</v>
      </c>
      <c r="B1" s="15" t="s">
        <v>8</v>
      </c>
      <c r="C1" s="15" t="s">
        <v>27</v>
      </c>
      <c r="D1" s="15" t="s">
        <v>26</v>
      </c>
      <c r="E1" s="9" t="s">
        <v>19</v>
      </c>
      <c r="F1" s="9" t="s">
        <v>20</v>
      </c>
      <c r="G1" s="9" t="s">
        <v>18</v>
      </c>
      <c r="H1" s="9" t="s">
        <v>15</v>
      </c>
      <c r="I1" s="9" t="s">
        <v>16</v>
      </c>
      <c r="J1" s="9" t="s">
        <v>17</v>
      </c>
    </row>
    <row r="2" spans="1:10" ht="15.5" x14ac:dyDescent="0.35">
      <c r="A2" s="3">
        <v>46146</v>
      </c>
      <c r="B2" s="9">
        <f>VLOOKUP(A2,'RCG INTERS '!A2:B61,2,)</f>
        <v>1238</v>
      </c>
      <c r="C2" s="13">
        <f>VLOOKUP(A2,'RCG INTERS '!A2:S92,19,)</f>
        <v>2.5791666666666668E-2</v>
      </c>
      <c r="D2" s="13">
        <f>VLOOKUP(A2,'RCG INTERS '!A2:T154,20,)</f>
        <v>2.5791666666666668E-2</v>
      </c>
      <c r="E2" s="9">
        <v>0</v>
      </c>
      <c r="F2" s="9">
        <f>E2</f>
        <v>0</v>
      </c>
      <c r="G2" s="13">
        <f>(H2-I2)*100/J2</f>
        <v>1.2765430058663141</v>
      </c>
      <c r="H2" s="9">
        <v>24381</v>
      </c>
      <c r="I2" s="9">
        <v>24072</v>
      </c>
      <c r="J2" s="9">
        <v>24206</v>
      </c>
    </row>
    <row r="3" spans="1:10" ht="15.5" x14ac:dyDescent="0.35">
      <c r="A3" s="3">
        <f>WORKDAY(A2,1)</f>
        <v>46147</v>
      </c>
      <c r="B3" s="9">
        <f>VLOOKUP(A3,'RCG INTERS '!A3:B62,2,)</f>
        <v>23246</v>
      </c>
      <c r="C3" s="13">
        <f>VLOOKUP(A3,'RCG INTERS '!A3:S93,19,)</f>
        <v>0.51008333333333333</v>
      </c>
      <c r="D3" s="13">
        <f>VLOOKUP(A3,'RCG INTERS '!A3:T155,20,)</f>
        <v>0.48429166666666668</v>
      </c>
      <c r="E3" s="13">
        <f>(J3-J2)*100/J2</f>
        <v>-0.41312071387259358</v>
      </c>
      <c r="F3" s="13">
        <f>(J2-J3)*100/$J$2</f>
        <v>0.41312071387259358</v>
      </c>
      <c r="G3" s="13">
        <f t="shared" ref="G3:G54" si="0">(H3-I3)*100/J3</f>
        <v>0.87530075499875548</v>
      </c>
      <c r="H3" s="9">
        <v>24148</v>
      </c>
      <c r="I3" s="9">
        <v>23937</v>
      </c>
      <c r="J3" s="9">
        <v>24106</v>
      </c>
    </row>
    <row r="4" spans="1:10" ht="15.5" x14ac:dyDescent="0.35">
      <c r="A4" s="3">
        <f t="shared" ref="A4:A37" si="1">WORKDAY(A3,1)</f>
        <v>46148</v>
      </c>
      <c r="B4" s="9">
        <f>VLOOKUP(A4,'RCG INTERS '!A4:B63,2,)</f>
        <v>-13730</v>
      </c>
      <c r="C4" s="13">
        <f>VLOOKUP(A4,'RCG INTERS '!A4:S94,19,)</f>
        <v>0.22404166666666667</v>
      </c>
      <c r="D4" s="13">
        <f>VLOOKUP(A4,'RCG INTERS '!A4:T156,20,)</f>
        <v>-0.28604166666666669</v>
      </c>
      <c r="E4" s="13">
        <f t="shared" ref="E4:E53" si="2">(J4-J3)*100/J3</f>
        <v>1.4145855803534391</v>
      </c>
      <c r="F4" s="13">
        <f>(J4-$J$2)*100/$J$2</f>
        <v>0.99562092043295047</v>
      </c>
      <c r="G4" s="13">
        <f t="shared" si="0"/>
        <v>1.693459320161983</v>
      </c>
      <c r="H4" s="9">
        <v>24470</v>
      </c>
      <c r="I4" s="9">
        <v>24056</v>
      </c>
      <c r="J4" s="9">
        <v>24447</v>
      </c>
    </row>
    <row r="5" spans="1:10" ht="15.5" x14ac:dyDescent="0.35">
      <c r="A5" s="3">
        <f t="shared" si="1"/>
        <v>46149</v>
      </c>
      <c r="B5" s="9">
        <f>VLOOKUP(A5,'RCG INTERS '!A5:B64,2,)</f>
        <v>45363</v>
      </c>
      <c r="C5" s="13">
        <f>VLOOKUP(A5,'RCG INTERS '!A5:S95,19,)</f>
        <v>1.1691041666666666</v>
      </c>
      <c r="D5" s="13">
        <f>VLOOKUP(A5,'RCG INTERS '!A5:T157,20,)</f>
        <v>0.94506250000000003</v>
      </c>
      <c r="E5" s="13">
        <f t="shared" si="2"/>
        <v>-0.26588129422833068</v>
      </c>
      <c r="F5" s="13">
        <f t="shared" ref="F5:F61" si="3">(J5-$J$2)*100/$J$2</f>
        <v>0.7270924564157647</v>
      </c>
      <c r="G5" s="13">
        <f t="shared" si="0"/>
        <v>0.89000082027725369</v>
      </c>
      <c r="H5" s="9">
        <v>24535</v>
      </c>
      <c r="I5" s="9">
        <v>24318</v>
      </c>
      <c r="J5" s="9">
        <v>24382</v>
      </c>
    </row>
    <row r="6" spans="1:10" ht="15.5" x14ac:dyDescent="0.35">
      <c r="A6" s="3">
        <f t="shared" si="1"/>
        <v>46150</v>
      </c>
      <c r="B6" s="9">
        <f>VLOOKUP(A6,'RCG INTERS '!A6:B65,2,)</f>
        <v>17156</v>
      </c>
      <c r="C6" s="13">
        <f>VLOOKUP(A6,'RCG INTERS '!A6:S96,19,)</f>
        <v>1.5265208333333333</v>
      </c>
      <c r="D6" s="13">
        <f>VLOOKUP(A6,'RCG INTERS '!A6:T158,20,)</f>
        <v>0.35741666666666666</v>
      </c>
      <c r="E6" s="13">
        <f t="shared" si="2"/>
        <v>-0.60700516774669844</v>
      </c>
      <c r="F6" s="13">
        <f t="shared" si="3"/>
        <v>0.1156737998843262</v>
      </c>
      <c r="G6" s="13">
        <f t="shared" si="0"/>
        <v>0.55294214739622016</v>
      </c>
      <c r="H6" s="9">
        <v>24294</v>
      </c>
      <c r="I6" s="9">
        <v>24160</v>
      </c>
      <c r="J6" s="9">
        <v>24234</v>
      </c>
    </row>
    <row r="7" spans="1:10" ht="15.5" x14ac:dyDescent="0.35">
      <c r="A7" s="3">
        <f t="shared" si="1"/>
        <v>46153</v>
      </c>
      <c r="B7" s="9">
        <f>VLOOKUP(A7,'RCG INTERS '!A7:B66,2,)</f>
        <v>-63606</v>
      </c>
      <c r="C7" s="13">
        <f>VLOOKUP(A7,'RCG INTERS '!A7:S97,19,)</f>
        <v>0.20139583333333333</v>
      </c>
      <c r="D7" s="13">
        <f>VLOOKUP(A7,'RCG INTERS '!A7:T159,20,)</f>
        <v>-1.3251250000000001</v>
      </c>
      <c r="E7" s="13">
        <f t="shared" si="2"/>
        <v>-1.5102748205001237</v>
      </c>
      <c r="F7" s="13">
        <f t="shared" si="3"/>
        <v>-1.3963480128893662</v>
      </c>
      <c r="G7" s="13">
        <f t="shared" si="0"/>
        <v>0.80861404390816161</v>
      </c>
      <c r="H7" s="9">
        <v>24043</v>
      </c>
      <c r="I7" s="9">
        <v>23850</v>
      </c>
      <c r="J7" s="9">
        <v>23868</v>
      </c>
    </row>
    <row r="8" spans="1:10" ht="15.5" x14ac:dyDescent="0.35">
      <c r="A8" s="3">
        <f t="shared" si="1"/>
        <v>46154</v>
      </c>
      <c r="B8" s="9">
        <f>VLOOKUP(A8,'RCG INTERS '!A8:B67,2,)</f>
        <v>-214994</v>
      </c>
      <c r="C8" s="13">
        <f>VLOOKUP(A8,'RCG INTERS '!A8:S98,19,)</f>
        <v>-4.2776458333333336</v>
      </c>
      <c r="D8" s="13">
        <f>VLOOKUP(A8,'RCG INTERS '!A8:T160,20,)</f>
        <v>-4.4790416666666664</v>
      </c>
      <c r="E8" s="13">
        <f t="shared" si="2"/>
        <v>-1.8602312719959779</v>
      </c>
      <c r="F8" s="13">
        <f t="shared" si="3"/>
        <v>-3.2306039824836819</v>
      </c>
      <c r="G8" s="13">
        <f t="shared" si="0"/>
        <v>1.643613387978142</v>
      </c>
      <c r="H8" s="9">
        <v>23778</v>
      </c>
      <c r="I8" s="9">
        <v>23393</v>
      </c>
      <c r="J8" s="9">
        <v>23424</v>
      </c>
    </row>
    <row r="9" spans="1:10" ht="15.5" x14ac:dyDescent="0.35">
      <c r="A9" s="3">
        <f t="shared" si="1"/>
        <v>46155</v>
      </c>
      <c r="B9" s="9">
        <f>VLOOKUP(A9,'RCG INTERS '!A9:B68,2,)</f>
        <v>33360</v>
      </c>
      <c r="C9" s="13">
        <f>VLOOKUP(A9,'RCG INTERS '!A9:S99,19,)</f>
        <v>-3.5826458333333333</v>
      </c>
      <c r="D9" s="13">
        <f>VLOOKUP(A9,'RCG INTERS '!A9:T161,20,)</f>
        <v>0.69499999999999995</v>
      </c>
      <c r="E9" s="13">
        <f t="shared" si="2"/>
        <v>0.16222677595628415</v>
      </c>
      <c r="F9" s="13">
        <f t="shared" si="3"/>
        <v>-3.0736181112120962</v>
      </c>
      <c r="G9" s="13">
        <f t="shared" si="0"/>
        <v>1.3170232716733441</v>
      </c>
      <c r="H9" s="9">
        <v>23629</v>
      </c>
      <c r="I9" s="9">
        <v>23320</v>
      </c>
      <c r="J9" s="9">
        <v>23462</v>
      </c>
    </row>
    <row r="10" spans="1:10" ht="15.5" x14ac:dyDescent="0.35">
      <c r="A10" s="3">
        <f t="shared" si="1"/>
        <v>46156</v>
      </c>
      <c r="B10" s="9">
        <f>VLOOKUP(A10,'RCG INTERS '!A10:B69,2,)</f>
        <v>52179</v>
      </c>
      <c r="C10" s="13">
        <f>VLOOKUP(A10,'RCG INTERS '!A10:S100,19,)</f>
        <v>-2.4955833333333333</v>
      </c>
      <c r="D10" s="13">
        <f>VLOOKUP(A10,'RCG INTERS '!A10:T162,20,)</f>
        <v>1.0870625</v>
      </c>
      <c r="E10" s="13">
        <f t="shared" si="2"/>
        <v>1.0144062739749382</v>
      </c>
      <c r="F10" s="13">
        <f t="shared" si="3"/>
        <v>-2.0903908121953236</v>
      </c>
      <c r="G10" s="13">
        <f t="shared" si="0"/>
        <v>1.5443037974683544</v>
      </c>
      <c r="H10" s="9">
        <v>23797</v>
      </c>
      <c r="I10" s="9">
        <v>23431</v>
      </c>
      <c r="J10" s="9">
        <v>23700</v>
      </c>
    </row>
    <row r="11" spans="1:10" ht="15.5" x14ac:dyDescent="0.35">
      <c r="A11" s="3">
        <f t="shared" si="1"/>
        <v>46157</v>
      </c>
      <c r="B11" s="9">
        <f>VLOOKUP(A11,'RCG INTERS '!A11:B70,2,)</f>
        <v>11488</v>
      </c>
      <c r="C11" s="13">
        <f>VLOOKUP(A11,'RCG INTERS '!A11:S101,19,)</f>
        <v>-2.2562500000000001</v>
      </c>
      <c r="D11" s="13">
        <f>VLOOKUP(A11,'RCG INTERS '!A11:T163,20,)</f>
        <v>0.23933333333333334</v>
      </c>
      <c r="E11" s="13">
        <f t="shared" si="2"/>
        <v>-0.24050632911392406</v>
      </c>
      <c r="F11" s="13">
        <f t="shared" si="3"/>
        <v>-2.325869619102702</v>
      </c>
      <c r="G11" s="13">
        <f t="shared" si="0"/>
        <v>-1.6918326777481708E-2</v>
      </c>
      <c r="H11" s="9">
        <v>23854</v>
      </c>
      <c r="I11" s="9">
        <v>23858</v>
      </c>
      <c r="J11" s="9">
        <v>23643</v>
      </c>
    </row>
    <row r="12" spans="1:10" ht="15.5" x14ac:dyDescent="0.35">
      <c r="A12" s="3">
        <f t="shared" si="1"/>
        <v>46160</v>
      </c>
      <c r="B12" s="9">
        <f>VLOOKUP(A12,'RCG INTERS '!A12:B71,2,)</f>
        <v>6831</v>
      </c>
      <c r="C12" s="13">
        <f>VLOOKUP(A12,'RCG INTERS '!A12:S102,19,)</f>
        <v>-2.1139375</v>
      </c>
      <c r="D12" s="13">
        <f>VLOOKUP(A12,'RCG INTERS '!A12:T164,20,)</f>
        <v>0.14231250000000001</v>
      </c>
      <c r="E12" s="13">
        <f t="shared" si="2"/>
        <v>6.3443725415556401E-2</v>
      </c>
      <c r="F12" s="13">
        <f t="shared" si="3"/>
        <v>-2.2639015120218127</v>
      </c>
      <c r="G12" s="13">
        <f t="shared" si="0"/>
        <v>1.563952996872094</v>
      </c>
      <c r="H12" s="9">
        <v>23712</v>
      </c>
      <c r="I12" s="9">
        <v>23342</v>
      </c>
      <c r="J12" s="9">
        <v>23658</v>
      </c>
    </row>
    <row r="13" spans="1:10" ht="15.5" x14ac:dyDescent="0.35">
      <c r="A13" s="3">
        <f t="shared" si="1"/>
        <v>46161</v>
      </c>
      <c r="B13" s="9">
        <f>VLOOKUP(A13,'RCG INTERS '!A13:B72,2,)</f>
        <v>41328</v>
      </c>
      <c r="C13" s="13">
        <f>VLOOKUP(A13,'RCG INTERS '!A13:S103,19,)</f>
        <v>-1.2529375</v>
      </c>
      <c r="D13" s="13">
        <f>VLOOKUP(A13,'RCG INTERS '!A13:T165,20,)</f>
        <v>0.86099999999999999</v>
      </c>
      <c r="E13" s="13">
        <f t="shared" si="2"/>
        <v>-0.19443739961112519</v>
      </c>
      <c r="F13" s="13">
        <f t="shared" si="3"/>
        <v>-2.4539370404032059</v>
      </c>
      <c r="G13" s="13">
        <f t="shared" si="0"/>
        <v>0.85126207013383026</v>
      </c>
      <c r="H13" s="9">
        <v>23777</v>
      </c>
      <c r="I13" s="9">
        <v>23576</v>
      </c>
      <c r="J13" s="9">
        <v>23612</v>
      </c>
    </row>
    <row r="14" spans="1:10" ht="15.5" x14ac:dyDescent="0.35">
      <c r="A14" s="3">
        <f t="shared" si="1"/>
        <v>46162</v>
      </c>
      <c r="B14" s="9">
        <f>VLOOKUP(A14,'RCG INTERS '!A14:B73,2,)</f>
        <v>24067</v>
      </c>
      <c r="C14" s="13">
        <f>VLOOKUP(A14,'RCG INTERS '!A14:S104,19,)</f>
        <v>-0.75154166666666666</v>
      </c>
      <c r="D14" s="13">
        <f>VLOOKUP(A14,'RCG INTERS '!A14:T166,20,)</f>
        <v>0.50139583333333337</v>
      </c>
      <c r="E14" s="13">
        <f t="shared" si="2"/>
        <v>0.23716754192783329</v>
      </c>
      <c r="F14" s="13">
        <f t="shared" si="3"/>
        <v>-2.2225894406345534</v>
      </c>
      <c r="G14" s="13">
        <f t="shared" si="0"/>
        <v>1.3266858205171539</v>
      </c>
      <c r="H14" s="9">
        <v>23700</v>
      </c>
      <c r="I14" s="9">
        <v>23386</v>
      </c>
      <c r="J14" s="9">
        <v>23668</v>
      </c>
    </row>
    <row r="15" spans="1:10" ht="15.5" x14ac:dyDescent="0.35">
      <c r="A15" s="3">
        <f t="shared" si="1"/>
        <v>46163</v>
      </c>
      <c r="B15" s="9">
        <f>VLOOKUP(A15,'RCG INTERS '!A15:B74,2,)</f>
        <v>31770</v>
      </c>
      <c r="C15" s="13">
        <f>VLOOKUP(A15,'RCG INTERS '!A15:S105,19,)</f>
        <v>-8.9666666666666672E-2</v>
      </c>
      <c r="D15" s="13">
        <f>VLOOKUP(A15,'RCG INTERS '!A15:T167,20,)</f>
        <v>0.66187499999999999</v>
      </c>
      <c r="E15" s="13">
        <f t="shared" si="2"/>
        <v>-0.156329220888964</v>
      </c>
      <c r="F15" s="13">
        <f t="shared" si="3"/>
        <v>-2.3754441047674129</v>
      </c>
      <c r="G15" s="13">
        <f t="shared" si="0"/>
        <v>1.2145063687529094</v>
      </c>
      <c r="H15" s="9">
        <v>23837</v>
      </c>
      <c r="I15" s="9">
        <v>23550</v>
      </c>
      <c r="J15" s="9">
        <v>23631</v>
      </c>
    </row>
    <row r="16" spans="1:10" ht="15.5" x14ac:dyDescent="0.35">
      <c r="A16" s="3">
        <f t="shared" si="1"/>
        <v>46164</v>
      </c>
      <c r="B16" s="9">
        <f>VLOOKUP(A16,'RCG INTERS '!A16:B75,2,)</f>
        <v>35263</v>
      </c>
      <c r="C16" s="13">
        <f>VLOOKUP(A16,'RCG INTERS '!A16:S106,19,)</f>
        <v>0.64497916666666666</v>
      </c>
      <c r="D16" s="13">
        <f>VLOOKUP(A16,'RCG INTERS '!A16:T168,20,)</f>
        <v>0.73464583333333333</v>
      </c>
      <c r="E16" s="13">
        <f t="shared" si="2"/>
        <v>0.47818543438703398</v>
      </c>
      <c r="F16" s="13">
        <f t="shared" si="3"/>
        <v>-1.9086176980913823</v>
      </c>
      <c r="G16" s="13">
        <f t="shared" si="0"/>
        <v>0.73281671159029649</v>
      </c>
      <c r="H16" s="9">
        <v>23849</v>
      </c>
      <c r="I16" s="9">
        <v>23675</v>
      </c>
      <c r="J16" s="9">
        <v>23744</v>
      </c>
    </row>
    <row r="17" spans="1:10" ht="15.5" x14ac:dyDescent="0.35">
      <c r="A17" s="3">
        <f t="shared" si="1"/>
        <v>46167</v>
      </c>
      <c r="B17" s="9">
        <f>VLOOKUP(A17,'RCG INTERS '!A17:B76,2,)</f>
        <v>609</v>
      </c>
      <c r="C17" s="13">
        <f>VLOOKUP(A17,'RCG INTERS '!A17:S107,19,)</f>
        <v>0.65766666666666662</v>
      </c>
      <c r="D17" s="13">
        <f>VLOOKUP(A17,'RCG INTERS '!A17:T169,20,)</f>
        <v>1.2687500000000001E-2</v>
      </c>
      <c r="E17" s="13">
        <f t="shared" si="2"/>
        <v>1.3434973045822103</v>
      </c>
      <c r="F17" s="13">
        <f t="shared" si="3"/>
        <v>-0.59076262083780884</v>
      </c>
      <c r="G17" s="13">
        <f t="shared" si="0"/>
        <v>0.86855338070897226</v>
      </c>
      <c r="H17" s="9">
        <v>24119</v>
      </c>
      <c r="I17" s="9">
        <v>23910</v>
      </c>
      <c r="J17" s="9">
        <v>24063</v>
      </c>
    </row>
    <row r="18" spans="1:10" ht="15.5" x14ac:dyDescent="0.35">
      <c r="A18" s="3">
        <f t="shared" si="1"/>
        <v>46168</v>
      </c>
      <c r="B18" s="9">
        <f>VLOOKUP(A18,'RCG INTERS '!A18:B77,2,)</f>
        <v>35563</v>
      </c>
      <c r="C18" s="13">
        <f>VLOOKUP(A18,'RCG INTERS '!A18:S108,19,)</f>
        <v>1.3985624999999999</v>
      </c>
      <c r="D18" s="13">
        <f>VLOOKUP(A18,'RCG INTERS '!A18:T170,20,)</f>
        <v>0.74089583333333331</v>
      </c>
      <c r="E18" s="13">
        <f t="shared" si="2"/>
        <v>-0.62336367036529106</v>
      </c>
      <c r="F18" s="13">
        <f t="shared" si="3"/>
        <v>-1.2104436916466992</v>
      </c>
      <c r="G18" s="13">
        <f t="shared" si="0"/>
        <v>0.85309246016810936</v>
      </c>
      <c r="H18" s="9">
        <v>24089</v>
      </c>
      <c r="I18" s="9">
        <v>23885</v>
      </c>
      <c r="J18" s="9">
        <v>23913</v>
      </c>
    </row>
    <row r="19" spans="1:10" ht="15.5" x14ac:dyDescent="0.35">
      <c r="A19" s="3">
        <f t="shared" si="1"/>
        <v>46169</v>
      </c>
      <c r="B19" s="9">
        <f>VLOOKUP(A19,'RCG INTERS '!A19:B78,2,)</f>
        <v>16163</v>
      </c>
      <c r="C19" s="13">
        <f>VLOOKUP(A19,'RCG INTERS '!A19:S109,19,)</f>
        <v>1.7352916666666667</v>
      </c>
      <c r="D19" s="13">
        <f>VLOOKUP(A19,'RCG INTERS '!A19:T171,20,)</f>
        <v>0.33672916666666669</v>
      </c>
      <c r="E19" s="13">
        <f t="shared" si="2"/>
        <v>0.34709154016643667</v>
      </c>
      <c r="F19" s="13">
        <f t="shared" si="3"/>
        <v>-0.8675534991324465</v>
      </c>
      <c r="G19" s="13">
        <f t="shared" si="0"/>
        <v>0.52092015335889319</v>
      </c>
      <c r="H19" s="9">
        <v>24045</v>
      </c>
      <c r="I19" s="9">
        <v>23920</v>
      </c>
      <c r="J19" s="9">
        <v>23996</v>
      </c>
    </row>
    <row r="20" spans="1:10" ht="15.5" x14ac:dyDescent="0.35">
      <c r="A20" s="3">
        <v>46171</v>
      </c>
      <c r="B20" s="9">
        <f>VLOOKUP(A20,'RCG INTERS '!A20:B79,2,)</f>
        <v>25419</v>
      </c>
      <c r="C20" s="13">
        <f>VLOOKUP(A20,'RCG INTERS '!A20:S110,19,)</f>
        <v>2.2648541666666668</v>
      </c>
      <c r="D20" s="13">
        <f>VLOOKUP(A20,'RCG INTERS '!A20:T172,20,)</f>
        <v>0.52956250000000005</v>
      </c>
      <c r="E20" s="13">
        <f t="shared" si="2"/>
        <v>-1.0335055842640439</v>
      </c>
      <c r="F20" s="13">
        <f t="shared" si="3"/>
        <v>-1.8920928695364785</v>
      </c>
      <c r="G20" s="13">
        <f t="shared" si="0"/>
        <v>1.4906518443658414</v>
      </c>
      <c r="H20" s="9">
        <v>24065</v>
      </c>
      <c r="I20" s="9">
        <v>23711</v>
      </c>
      <c r="J20" s="9">
        <v>23748</v>
      </c>
    </row>
    <row r="21" spans="1:10" ht="15.5" x14ac:dyDescent="0.35">
      <c r="A21" s="3">
        <f>WORKDAY(A20,1)</f>
        <v>46174</v>
      </c>
      <c r="B21" s="9">
        <f>VLOOKUP(A21,'RCG INTERS '!A21:B80,2,)</f>
        <v>-24392</v>
      </c>
      <c r="C21" s="13">
        <f>VLOOKUP(A21,'RCG INTERS '!A21:S111,19,)</f>
        <v>1.7566875</v>
      </c>
      <c r="D21" s="13">
        <f>VLOOKUP(A21,'RCG INTERS '!A21:T173,20,)</f>
        <v>-0.50816666666666666</v>
      </c>
      <c r="E21" s="13">
        <f>(J21-J20)*100/J20</f>
        <v>-1.2043119420582786</v>
      </c>
      <c r="F21" s="13">
        <f t="shared" si="3"/>
        <v>-3.0736181112120962</v>
      </c>
      <c r="G21" s="13">
        <f t="shared" si="0"/>
        <v>1.4619384536697639</v>
      </c>
      <c r="H21" s="9">
        <v>23779</v>
      </c>
      <c r="I21" s="9">
        <v>23436</v>
      </c>
      <c r="J21" s="9">
        <v>23462</v>
      </c>
    </row>
    <row r="22" spans="1:10" ht="15.5" x14ac:dyDescent="0.35">
      <c r="A22" s="3">
        <f t="shared" si="1"/>
        <v>46175</v>
      </c>
      <c r="B22" s="9">
        <f>VLOOKUP(A22,'RCG INTERS '!A22:B81,2,)</f>
        <v>52803</v>
      </c>
      <c r="C22" s="13">
        <f>VLOOKUP(A22,'RCG INTERS '!A22:S112,19,)</f>
        <v>2.8567499999999999</v>
      </c>
      <c r="D22" s="13">
        <f>VLOOKUP(A22,'RCG INTERS '!A22:T174,20,)</f>
        <v>1.1000624999999999</v>
      </c>
      <c r="E22" s="13">
        <f t="shared" si="2"/>
        <v>0.600971784161623</v>
      </c>
      <c r="F22" s="13">
        <f t="shared" si="3"/>
        <v>-2.4911179046517393</v>
      </c>
      <c r="G22" s="13">
        <f t="shared" si="0"/>
        <v>1.5421768419268738</v>
      </c>
      <c r="H22" s="9">
        <v>23650</v>
      </c>
      <c r="I22" s="9">
        <v>23286</v>
      </c>
      <c r="J22" s="9">
        <v>23603</v>
      </c>
    </row>
    <row r="23" spans="1:10" ht="15.5" x14ac:dyDescent="0.35">
      <c r="A23" s="3">
        <f t="shared" si="1"/>
        <v>46176</v>
      </c>
      <c r="B23" s="9">
        <f>VLOOKUP(A23,'RCG INTERS '!A23:B82,2,)</f>
        <v>16344</v>
      </c>
      <c r="C23" s="13">
        <f>VLOOKUP(A23,'RCG INTERS '!A23:S113,19,)</f>
        <v>3.1972499999999999</v>
      </c>
      <c r="D23" s="13">
        <f>VLOOKUP(A23,'RCG INTERS '!A23:T175,20,)</f>
        <v>0.34050000000000002</v>
      </c>
      <c r="E23" s="13">
        <f t="shared" si="2"/>
        <v>-0.37283396178451894</v>
      </c>
      <c r="F23" s="13">
        <f t="shared" si="3"/>
        <v>-2.8546641328596216</v>
      </c>
      <c r="G23" s="13">
        <f t="shared" si="0"/>
        <v>1.5649585371039763</v>
      </c>
      <c r="H23" s="9">
        <v>23580</v>
      </c>
      <c r="I23" s="9">
        <v>23212</v>
      </c>
      <c r="J23" s="9">
        <v>23515</v>
      </c>
    </row>
    <row r="24" spans="1:10" ht="15.5" x14ac:dyDescent="0.35">
      <c r="A24" s="3">
        <f t="shared" si="1"/>
        <v>46177</v>
      </c>
      <c r="B24" s="9">
        <f>VLOOKUP(A24,'RCG INTERS '!A24:B83,2,)</f>
        <v>23424</v>
      </c>
      <c r="C24" s="13">
        <f>VLOOKUP(A24,'RCG INTERS '!A24:S114,19,)</f>
        <v>3.6852499999999999</v>
      </c>
      <c r="D24" s="13">
        <f>VLOOKUP(A24,'RCG INTERS '!A24:T176,20,)</f>
        <v>0.48799999999999999</v>
      </c>
      <c r="E24" s="13">
        <f t="shared" si="2"/>
        <v>-1.7010418881564959E-2</v>
      </c>
      <c r="F24" s="13">
        <f t="shared" si="3"/>
        <v>-2.8711889614145254</v>
      </c>
      <c r="G24" s="13">
        <f t="shared" si="0"/>
        <v>0.92297222576666238</v>
      </c>
      <c r="H24" s="9">
        <v>23543</v>
      </c>
      <c r="I24" s="9">
        <v>23326</v>
      </c>
      <c r="J24" s="9">
        <v>23511</v>
      </c>
    </row>
    <row r="25" spans="1:10" ht="15.5" x14ac:dyDescent="0.35">
      <c r="A25" s="3">
        <f t="shared" si="1"/>
        <v>46178</v>
      </c>
      <c r="B25" s="9">
        <f>VLOOKUP(A25,'RCG INTERS '!A25:B84,2,)</f>
        <v>-2660</v>
      </c>
      <c r="C25" s="13">
        <f>VLOOKUP(A25,'RCG INTERS '!A25:S115,19,)</f>
        <v>3.6298333333333335</v>
      </c>
      <c r="D25" s="13">
        <f>VLOOKUP(A25,'RCG INTERS '!A25:T177,20,)</f>
        <v>-5.541666666666667E-2</v>
      </c>
      <c r="E25" s="13">
        <f t="shared" si="2"/>
        <v>-0.2551996937603675</v>
      </c>
      <c r="F25" s="13">
        <f t="shared" si="3"/>
        <v>-3.1190613897380817</v>
      </c>
      <c r="G25" s="13">
        <f t="shared" si="0"/>
        <v>0.5927252569186815</v>
      </c>
      <c r="H25" s="9">
        <v>23590</v>
      </c>
      <c r="I25" s="9">
        <v>23451</v>
      </c>
      <c r="J25" s="9">
        <v>23451</v>
      </c>
    </row>
    <row r="26" spans="1:10" ht="15.5" x14ac:dyDescent="0.35">
      <c r="A26" s="3">
        <f t="shared" si="1"/>
        <v>46181</v>
      </c>
      <c r="B26" s="9">
        <f>VLOOKUP(A26,'RCG INTERS '!A26:B85,2,)</f>
        <v>-56253</v>
      </c>
      <c r="C26" s="13">
        <f>VLOOKUP(A26,'RCG INTERS '!A26:S116,19,)</f>
        <v>2.4578958333333332</v>
      </c>
      <c r="D26" s="13">
        <f>VLOOKUP(A26,'RCG INTERS '!A26:T178,20,)</f>
        <v>-1.1719375000000001</v>
      </c>
      <c r="E26" s="13">
        <f t="shared" si="2"/>
        <v>-1.1811863033559336</v>
      </c>
      <c r="F26" s="13">
        <f t="shared" si="3"/>
        <v>-4.2634057671651657</v>
      </c>
      <c r="G26" s="13">
        <f t="shared" si="0"/>
        <v>0.91050315008198845</v>
      </c>
      <c r="H26" s="9">
        <v>23353</v>
      </c>
      <c r="I26" s="9">
        <v>23142</v>
      </c>
      <c r="J26" s="9">
        <v>23174</v>
      </c>
    </row>
    <row r="27" spans="1:10" ht="15.5" x14ac:dyDescent="0.35">
      <c r="A27" s="3">
        <f t="shared" si="1"/>
        <v>46182</v>
      </c>
      <c r="B27" s="9">
        <f>VLOOKUP(A27,'RCG INTERS '!A27:B86,2,)</f>
        <v>59594</v>
      </c>
      <c r="C27" s="13">
        <f>VLOOKUP(A27,'RCG INTERS '!A27:S117,19,)</f>
        <v>3.6994375000000002</v>
      </c>
      <c r="D27" s="13">
        <f>VLOOKUP(A27,'RCG INTERS '!A27:T179,20,)</f>
        <v>1.2415416666666668</v>
      </c>
      <c r="E27" s="13">
        <f t="shared" si="2"/>
        <v>0.67748338655389662</v>
      </c>
      <c r="F27" s="13">
        <f t="shared" si="3"/>
        <v>-3.6148062463851938</v>
      </c>
      <c r="G27" s="13">
        <f t="shared" si="0"/>
        <v>0.87437315160087437</v>
      </c>
      <c r="H27" s="9">
        <v>23349</v>
      </c>
      <c r="I27" s="9">
        <v>23145</v>
      </c>
      <c r="J27" s="9">
        <v>23331</v>
      </c>
    </row>
    <row r="28" spans="1:10" ht="15.5" x14ac:dyDescent="0.35">
      <c r="A28" s="3">
        <f t="shared" si="1"/>
        <v>46183</v>
      </c>
      <c r="B28" s="9">
        <f>VLOOKUP(A28,'RCG INTERS '!A28:B87,2,)</f>
        <v>3548</v>
      </c>
      <c r="C28" s="13">
        <f>VLOOKUP(A28,'RCG INTERS '!A28:S118,19,)</f>
        <v>3.7733541666666666</v>
      </c>
      <c r="D28" s="13">
        <f>VLOOKUP(A28,'RCG INTERS '!A28:T180,20,)</f>
        <v>7.3916666666666672E-2</v>
      </c>
      <c r="E28" s="13">
        <f t="shared" si="2"/>
        <v>-100</v>
      </c>
      <c r="F28" s="13">
        <f t="shared" si="3"/>
        <v>-100</v>
      </c>
      <c r="G28" s="13" t="e">
        <f t="shared" si="0"/>
        <v>#DIV/0!</v>
      </c>
      <c r="H28" s="9"/>
      <c r="I28" s="9"/>
      <c r="J28" s="9"/>
    </row>
    <row r="29" spans="1:10" ht="15.5" x14ac:dyDescent="0.35">
      <c r="A29" s="3">
        <f t="shared" si="1"/>
        <v>46184</v>
      </c>
      <c r="B29" s="9">
        <f>VLOOKUP(A29,'RCG INTERS '!A29:B88,2,)</f>
        <v>3017</v>
      </c>
      <c r="C29" s="13">
        <f>VLOOKUP(A29,'RCG INTERS '!A29:S119,19,)</f>
        <v>3.8362083333333334</v>
      </c>
      <c r="D29" s="13">
        <f>VLOOKUP(A29,'RCG INTERS '!A29:T181,20,)</f>
        <v>6.2854166666666669E-2</v>
      </c>
      <c r="E29" s="13" t="e">
        <f t="shared" si="2"/>
        <v>#DIV/0!</v>
      </c>
      <c r="F29" s="13">
        <f t="shared" si="3"/>
        <v>-100</v>
      </c>
      <c r="G29" s="13" t="e">
        <f t="shared" si="0"/>
        <v>#DIV/0!</v>
      </c>
      <c r="H29" s="9"/>
      <c r="I29" s="9"/>
      <c r="J29" s="9"/>
    </row>
    <row r="30" spans="1:10" ht="15.5" x14ac:dyDescent="0.35">
      <c r="A30" s="3">
        <f t="shared" si="1"/>
        <v>46185</v>
      </c>
      <c r="B30" s="9">
        <f>VLOOKUP(A30,'RCG INTERS '!A30:B89,2,)</f>
        <v>-184138</v>
      </c>
      <c r="C30" s="13">
        <f>VLOOKUP(A30,'RCG INTERS '!A30:S120,19,)</f>
        <v>0</v>
      </c>
      <c r="D30" s="13">
        <f>VLOOKUP(A30,'RCG INTERS '!A30:T182,20,)</f>
        <v>-3.8362083333333334</v>
      </c>
      <c r="E30" s="13" t="e">
        <f t="shared" si="2"/>
        <v>#DIV/0!</v>
      </c>
      <c r="F30" s="13">
        <f t="shared" si="3"/>
        <v>-100</v>
      </c>
      <c r="G30" s="13" t="e">
        <f t="shared" si="0"/>
        <v>#DIV/0!</v>
      </c>
      <c r="H30" s="9"/>
      <c r="I30" s="9"/>
      <c r="J30" s="9"/>
    </row>
    <row r="31" spans="1:10" ht="15.5" x14ac:dyDescent="0.35">
      <c r="A31" s="3">
        <f t="shared" si="1"/>
        <v>46188</v>
      </c>
      <c r="B31" s="9" t="str">
        <f>VLOOKUP(A31,'RCG INTERS '!A31:B90,2,)</f>
        <v/>
      </c>
      <c r="C31" s="13">
        <f>VLOOKUP(A31,'RCG INTERS '!A31:S121,19,)</f>
        <v>0</v>
      </c>
      <c r="D31" s="13" t="e">
        <f>VLOOKUP(A31,'RCG INTERS '!A31:T183,20,)</f>
        <v>#VALUE!</v>
      </c>
      <c r="E31" s="13" t="e">
        <f t="shared" si="2"/>
        <v>#DIV/0!</v>
      </c>
      <c r="F31" s="13">
        <f t="shared" si="3"/>
        <v>-100</v>
      </c>
      <c r="G31" s="13" t="e">
        <f t="shared" si="0"/>
        <v>#DIV/0!</v>
      </c>
      <c r="H31" s="9"/>
      <c r="I31" s="9"/>
      <c r="J31" s="9"/>
    </row>
    <row r="32" spans="1:10" ht="15.5" x14ac:dyDescent="0.35">
      <c r="A32" s="3">
        <f t="shared" si="1"/>
        <v>46189</v>
      </c>
      <c r="B32" s="9" t="str">
        <f>VLOOKUP(A32,'RCG INTERS '!A32:B91,2,)</f>
        <v/>
      </c>
      <c r="C32" s="13">
        <f>VLOOKUP(A32,'RCG INTERS '!A32:S122,19,)</f>
        <v>0</v>
      </c>
      <c r="D32" s="13" t="e">
        <f>VLOOKUP(A32,'RCG INTERS '!A32:T184,20,)</f>
        <v>#VALUE!</v>
      </c>
      <c r="E32" s="13" t="e">
        <f t="shared" si="2"/>
        <v>#DIV/0!</v>
      </c>
      <c r="F32" s="13">
        <f t="shared" si="3"/>
        <v>-100</v>
      </c>
      <c r="G32" s="13" t="e">
        <f t="shared" si="0"/>
        <v>#DIV/0!</v>
      </c>
      <c r="H32" s="9"/>
      <c r="I32" s="9"/>
      <c r="J32" s="9"/>
    </row>
    <row r="33" spans="1:10" ht="15.5" x14ac:dyDescent="0.35">
      <c r="A33" s="3">
        <f t="shared" si="1"/>
        <v>46190</v>
      </c>
      <c r="B33" s="9" t="str">
        <f>VLOOKUP(A33,'RCG INTERS '!A33:B92,2,)</f>
        <v/>
      </c>
      <c r="C33" s="13">
        <f>VLOOKUP(A33,'RCG INTERS '!A33:S123,19,)</f>
        <v>0</v>
      </c>
      <c r="D33" s="13" t="e">
        <f>VLOOKUP(A33,'RCG INTERS '!A33:T185,20,)</f>
        <v>#VALUE!</v>
      </c>
      <c r="E33" s="13" t="e">
        <f t="shared" si="2"/>
        <v>#DIV/0!</v>
      </c>
      <c r="F33" s="13">
        <f t="shared" si="3"/>
        <v>-100</v>
      </c>
      <c r="G33" s="13" t="e">
        <f t="shared" si="0"/>
        <v>#DIV/0!</v>
      </c>
      <c r="H33" s="9"/>
      <c r="I33" s="9"/>
      <c r="J33" s="9"/>
    </row>
    <row r="34" spans="1:10" ht="15.5" x14ac:dyDescent="0.35">
      <c r="A34" s="3">
        <f t="shared" si="1"/>
        <v>46191</v>
      </c>
      <c r="B34" s="9" t="str">
        <f>VLOOKUP(A34,'RCG INTERS '!A34:B93,2,)</f>
        <v/>
      </c>
      <c r="C34" s="13">
        <f>VLOOKUP(A34,'RCG INTERS '!A34:S124,19,)</f>
        <v>0</v>
      </c>
      <c r="D34" s="13" t="e">
        <f>VLOOKUP(A34,'RCG INTERS '!A34:T186,20,)</f>
        <v>#VALUE!</v>
      </c>
      <c r="E34" s="13" t="e">
        <f t="shared" si="2"/>
        <v>#DIV/0!</v>
      </c>
      <c r="F34" s="13">
        <f t="shared" si="3"/>
        <v>-100</v>
      </c>
      <c r="G34" s="13" t="e">
        <f t="shared" si="0"/>
        <v>#DIV/0!</v>
      </c>
      <c r="H34" s="9"/>
      <c r="I34" s="9"/>
      <c r="J34" s="9"/>
    </row>
    <row r="35" spans="1:10" ht="15.5" x14ac:dyDescent="0.35">
      <c r="A35" s="3">
        <f t="shared" si="1"/>
        <v>46192</v>
      </c>
      <c r="B35" s="9" t="str">
        <f>VLOOKUP(A35,'RCG INTERS '!A35:B94,2,)</f>
        <v/>
      </c>
      <c r="C35" s="13">
        <f>VLOOKUP(A35,'RCG INTERS '!A35:S125,19,)</f>
        <v>0</v>
      </c>
      <c r="D35" s="13" t="e">
        <f>VLOOKUP(A35,'RCG INTERS '!A35:T187,20,)</f>
        <v>#VALUE!</v>
      </c>
      <c r="E35" s="13" t="e">
        <f t="shared" si="2"/>
        <v>#DIV/0!</v>
      </c>
      <c r="F35" s="13">
        <f t="shared" si="3"/>
        <v>-100</v>
      </c>
      <c r="G35" s="13" t="e">
        <f t="shared" si="0"/>
        <v>#DIV/0!</v>
      </c>
      <c r="H35" s="9"/>
      <c r="I35" s="9"/>
      <c r="J35" s="9"/>
    </row>
    <row r="36" spans="1:10" ht="15.5" x14ac:dyDescent="0.35">
      <c r="A36" s="3">
        <f t="shared" si="1"/>
        <v>46195</v>
      </c>
      <c r="B36" s="9" t="str">
        <f>VLOOKUP(A36,'RCG INTERS '!A36:B95,2,)</f>
        <v/>
      </c>
      <c r="C36" s="13">
        <f>VLOOKUP(A36,'RCG INTERS '!A36:S126,19,)</f>
        <v>0</v>
      </c>
      <c r="D36" s="13" t="e">
        <f>VLOOKUP(A36,'RCG INTERS '!A36:T188,20,)</f>
        <v>#VALUE!</v>
      </c>
      <c r="E36" s="13" t="e">
        <f t="shared" si="2"/>
        <v>#DIV/0!</v>
      </c>
      <c r="F36" s="13">
        <f t="shared" si="3"/>
        <v>-100</v>
      </c>
      <c r="G36" s="13" t="e">
        <f t="shared" si="0"/>
        <v>#DIV/0!</v>
      </c>
      <c r="H36" s="9"/>
      <c r="I36" s="9"/>
      <c r="J36" s="9"/>
    </row>
    <row r="37" spans="1:10" ht="15.5" x14ac:dyDescent="0.35">
      <c r="A37" s="3">
        <f t="shared" si="1"/>
        <v>46196</v>
      </c>
      <c r="B37" s="9" t="str">
        <f>VLOOKUP(A37,'RCG INTERS '!A37:B96,2,)</f>
        <v/>
      </c>
      <c r="C37" s="13">
        <f>VLOOKUP(A37,'RCG INTERS '!A37:S127,19,)</f>
        <v>0</v>
      </c>
      <c r="D37" s="13" t="e">
        <f>VLOOKUP(A37,'RCG INTERS '!A37:T189,20,)</f>
        <v>#VALUE!</v>
      </c>
      <c r="E37" s="13" t="e">
        <f t="shared" si="2"/>
        <v>#DIV/0!</v>
      </c>
      <c r="F37" s="13">
        <f t="shared" si="3"/>
        <v>-100</v>
      </c>
      <c r="G37" s="13" t="e">
        <f t="shared" si="0"/>
        <v>#DIV/0!</v>
      </c>
      <c r="H37" s="9"/>
      <c r="I37" s="9"/>
      <c r="J37" s="9"/>
    </row>
    <row r="38" spans="1:10" ht="15.5" x14ac:dyDescent="0.35">
      <c r="A38" s="3">
        <f t="shared" ref="A38:A41" si="4">A37+1</f>
        <v>46197</v>
      </c>
      <c r="B38" s="9"/>
      <c r="C38" s="13">
        <f>VLOOKUP(A38,'RCG INTERS '!A38:S128,19,)</f>
        <v>0</v>
      </c>
      <c r="D38" s="13" t="e">
        <f>VLOOKUP(A38,'RCG INTERS '!A38:T190,20,)</f>
        <v>#VALUE!</v>
      </c>
      <c r="E38" s="13" t="e">
        <f t="shared" si="2"/>
        <v>#DIV/0!</v>
      </c>
      <c r="F38" s="13">
        <f t="shared" si="3"/>
        <v>-100</v>
      </c>
      <c r="G38" s="13" t="e">
        <f t="shared" si="0"/>
        <v>#DIV/0!</v>
      </c>
      <c r="H38" s="9"/>
      <c r="I38" s="9"/>
      <c r="J38" s="9"/>
    </row>
    <row r="39" spans="1:10" ht="15.5" x14ac:dyDescent="0.35">
      <c r="A39" s="3">
        <f t="shared" si="4"/>
        <v>46198</v>
      </c>
      <c r="B39" s="9"/>
      <c r="C39" s="13">
        <f>VLOOKUP(A39,'RCG INTERS '!A39:S129,19,)</f>
        <v>0</v>
      </c>
      <c r="D39" s="13" t="e">
        <f>VLOOKUP(A39,'RCG INTERS '!A39:T191,20,)</f>
        <v>#VALUE!</v>
      </c>
      <c r="E39" s="13" t="e">
        <f t="shared" si="2"/>
        <v>#DIV/0!</v>
      </c>
      <c r="F39" s="13">
        <f t="shared" si="3"/>
        <v>-100</v>
      </c>
      <c r="G39" s="13" t="e">
        <f t="shared" si="0"/>
        <v>#DIV/0!</v>
      </c>
      <c r="H39" s="9"/>
      <c r="I39" s="9"/>
      <c r="J39" s="9"/>
    </row>
    <row r="40" spans="1:10" ht="15.5" x14ac:dyDescent="0.35">
      <c r="A40" s="3">
        <f t="shared" si="4"/>
        <v>46199</v>
      </c>
      <c r="B40" s="9"/>
      <c r="C40" s="13">
        <f>VLOOKUP(A40,'RCG INTERS '!A40:S130,19,)</f>
        <v>0</v>
      </c>
      <c r="D40" s="13" t="e">
        <f>VLOOKUP(A40,'RCG INTERS '!A40:T192,20,)</f>
        <v>#VALUE!</v>
      </c>
      <c r="E40" s="13" t="e">
        <f t="shared" si="2"/>
        <v>#DIV/0!</v>
      </c>
      <c r="F40" s="13">
        <f t="shared" si="3"/>
        <v>-100</v>
      </c>
      <c r="G40" s="13" t="e">
        <f t="shared" si="0"/>
        <v>#DIV/0!</v>
      </c>
      <c r="H40" s="9"/>
      <c r="I40" s="9"/>
      <c r="J40" s="9"/>
    </row>
    <row r="41" spans="1:10" ht="15.5" x14ac:dyDescent="0.35">
      <c r="A41" s="3">
        <f t="shared" si="4"/>
        <v>46200</v>
      </c>
      <c r="B41" s="9"/>
      <c r="C41" s="13">
        <f>VLOOKUP(A41,'RCG INTERS '!A41:S131,19,)</f>
        <v>0</v>
      </c>
      <c r="D41" s="13" t="e">
        <f>VLOOKUP(A41,'RCG INTERS '!A41:T193,20,)</f>
        <v>#VALUE!</v>
      </c>
      <c r="E41" s="13" t="e">
        <f t="shared" si="2"/>
        <v>#DIV/0!</v>
      </c>
      <c r="F41" s="13">
        <f t="shared" si="3"/>
        <v>-100</v>
      </c>
      <c r="G41" s="13" t="e">
        <f t="shared" si="0"/>
        <v>#DIV/0!</v>
      </c>
      <c r="H41" s="9"/>
      <c r="I41" s="9"/>
      <c r="J41" s="9"/>
    </row>
    <row r="42" spans="1:10" x14ac:dyDescent="0.3">
      <c r="A42" s="14"/>
      <c r="C42" s="13" t="e">
        <f>VLOOKUP(A42,'RCG INTERS '!A42:S132,19,)</f>
        <v>#N/A</v>
      </c>
      <c r="D42" s="13" t="e">
        <f>VLOOKUP(A42,'RCG INTERS '!A42:T194,20,)</f>
        <v>#N/A</v>
      </c>
      <c r="E42" s="13" t="e">
        <f t="shared" si="2"/>
        <v>#DIV/0!</v>
      </c>
      <c r="F42" s="13">
        <f t="shared" si="3"/>
        <v>-100</v>
      </c>
      <c r="G42" s="13" t="e">
        <f t="shared" si="0"/>
        <v>#DIV/0!</v>
      </c>
    </row>
    <row r="43" spans="1:10" x14ac:dyDescent="0.3">
      <c r="A43" s="10"/>
      <c r="C43" s="13" t="e">
        <f>VLOOKUP(A43,'RCG INTERS '!A43:S133,19,)</f>
        <v>#N/A</v>
      </c>
      <c r="D43" s="13" t="e">
        <f>VLOOKUP(A43,'RCG INTERS '!A43:T195,20,)</f>
        <v>#N/A</v>
      </c>
      <c r="E43" s="13" t="e">
        <f t="shared" si="2"/>
        <v>#DIV/0!</v>
      </c>
      <c r="F43" s="13">
        <f t="shared" si="3"/>
        <v>-100</v>
      </c>
      <c r="G43" s="13" t="e">
        <f t="shared" si="0"/>
        <v>#DIV/0!</v>
      </c>
    </row>
    <row r="44" spans="1:10" x14ac:dyDescent="0.3">
      <c r="A44" s="10"/>
      <c r="C44" s="13" t="e">
        <f>VLOOKUP(A44,'RCG INTERS '!A44:S134,19,)</f>
        <v>#N/A</v>
      </c>
      <c r="D44" s="13" t="e">
        <f>VLOOKUP(A44,'RCG INTERS '!A44:T196,20,)</f>
        <v>#N/A</v>
      </c>
      <c r="E44" s="13" t="e">
        <f t="shared" si="2"/>
        <v>#DIV/0!</v>
      </c>
      <c r="F44" s="13">
        <f t="shared" si="3"/>
        <v>-100</v>
      </c>
      <c r="G44" s="13" t="e">
        <f t="shared" si="0"/>
        <v>#DIV/0!</v>
      </c>
    </row>
    <row r="45" spans="1:10" x14ac:dyDescent="0.3">
      <c r="A45" s="10"/>
      <c r="C45" s="13" t="e">
        <f>VLOOKUP(A45,'RCG INTERS '!A45:S135,19,)</f>
        <v>#N/A</v>
      </c>
      <c r="D45" s="13" t="e">
        <f>VLOOKUP(A45,'RCG INTERS '!A45:T197,20,)</f>
        <v>#N/A</v>
      </c>
      <c r="E45" s="13" t="e">
        <f t="shared" si="2"/>
        <v>#DIV/0!</v>
      </c>
      <c r="F45" s="13">
        <f t="shared" si="3"/>
        <v>-100</v>
      </c>
      <c r="G45" s="13" t="e">
        <f t="shared" si="0"/>
        <v>#DIV/0!</v>
      </c>
    </row>
    <row r="46" spans="1:10" x14ac:dyDescent="0.3">
      <c r="A46" s="10"/>
      <c r="C46" s="13" t="e">
        <f>VLOOKUP(A46,'RCG INTERS '!A46:S136,19,)</f>
        <v>#N/A</v>
      </c>
      <c r="D46" s="13" t="e">
        <f>VLOOKUP(A46,'RCG INTERS '!A46:T198,20,)</f>
        <v>#N/A</v>
      </c>
      <c r="E46" s="13" t="e">
        <f t="shared" si="2"/>
        <v>#DIV/0!</v>
      </c>
      <c r="F46" s="13">
        <f t="shared" si="3"/>
        <v>-100</v>
      </c>
      <c r="G46" s="13" t="e">
        <f t="shared" si="0"/>
        <v>#DIV/0!</v>
      </c>
    </row>
    <row r="47" spans="1:10" x14ac:dyDescent="0.3">
      <c r="C47" s="13" t="e">
        <f>VLOOKUP(A47,'RCG INTERS '!A47:S137,19,)</f>
        <v>#N/A</v>
      </c>
      <c r="D47" s="13" t="e">
        <f>VLOOKUP(A47,'RCG INTERS '!A47:T199,20,)</f>
        <v>#N/A</v>
      </c>
      <c r="E47" s="13" t="e">
        <f t="shared" si="2"/>
        <v>#DIV/0!</v>
      </c>
      <c r="F47" s="13">
        <f t="shared" si="3"/>
        <v>-100</v>
      </c>
      <c r="G47" s="13" t="e">
        <f t="shared" si="0"/>
        <v>#DIV/0!</v>
      </c>
    </row>
    <row r="48" spans="1:10" x14ac:dyDescent="0.3">
      <c r="C48" s="13" t="e">
        <f>VLOOKUP(A48,'RCG INTERS '!A48:S138,19,)</f>
        <v>#N/A</v>
      </c>
      <c r="D48" s="13" t="e">
        <f>VLOOKUP(A48,'RCG INTERS '!A48:T200,20,)</f>
        <v>#N/A</v>
      </c>
      <c r="E48" s="13" t="e">
        <f t="shared" si="2"/>
        <v>#DIV/0!</v>
      </c>
      <c r="F48" s="13">
        <f t="shared" si="3"/>
        <v>-100</v>
      </c>
      <c r="G48" s="13" t="e">
        <f t="shared" si="0"/>
        <v>#DIV/0!</v>
      </c>
    </row>
    <row r="49" spans="3:7" x14ac:dyDescent="0.3">
      <c r="C49" s="13" t="e">
        <f>VLOOKUP(A49,'RCG INTERS '!A49:K215,11,)</f>
        <v>#N/A</v>
      </c>
      <c r="D49" s="13" t="e">
        <f>VLOOKUP(A49,'RCG INTERS '!A49:T201,20,)</f>
        <v>#N/A</v>
      </c>
      <c r="E49" s="13" t="e">
        <f t="shared" si="2"/>
        <v>#DIV/0!</v>
      </c>
      <c r="F49" s="13">
        <f t="shared" si="3"/>
        <v>-100</v>
      </c>
      <c r="G49" s="13" t="e">
        <f t="shared" si="0"/>
        <v>#DIV/0!</v>
      </c>
    </row>
    <row r="50" spans="3:7" x14ac:dyDescent="0.3">
      <c r="C50" s="13" t="e">
        <f>VLOOKUP(A50,'RCG INTERS '!A50:K216,11,)</f>
        <v>#N/A</v>
      </c>
      <c r="D50" s="13" t="e">
        <f>VLOOKUP(A50,'RCG INTERS '!A50:T202,20,)</f>
        <v>#N/A</v>
      </c>
      <c r="E50" s="13" t="e">
        <f t="shared" si="2"/>
        <v>#DIV/0!</v>
      </c>
      <c r="F50" s="13">
        <f t="shared" si="3"/>
        <v>-100</v>
      </c>
      <c r="G50" s="13" t="e">
        <f t="shared" si="0"/>
        <v>#DIV/0!</v>
      </c>
    </row>
    <row r="51" spans="3:7" x14ac:dyDescent="0.3">
      <c r="C51" s="13" t="e">
        <f>VLOOKUP(A51,'RCG INTERS '!A51:K217,11,)</f>
        <v>#N/A</v>
      </c>
      <c r="D51" s="13" t="e">
        <f>VLOOKUP(A51,'RCG INTERS '!A51:T203,20,)</f>
        <v>#N/A</v>
      </c>
      <c r="E51" s="13" t="e">
        <f t="shared" si="2"/>
        <v>#DIV/0!</v>
      </c>
      <c r="F51" s="13">
        <f t="shared" si="3"/>
        <v>-100</v>
      </c>
      <c r="G51" s="13" t="e">
        <f t="shared" si="0"/>
        <v>#DIV/0!</v>
      </c>
    </row>
    <row r="52" spans="3:7" x14ac:dyDescent="0.3">
      <c r="C52" s="13" t="e">
        <f>VLOOKUP(A52,'RCG INTERS '!A52:K218,11,)</f>
        <v>#N/A</v>
      </c>
      <c r="D52" s="13" t="e">
        <f>VLOOKUP(A52,'RCG INTERS '!A52:T204,20,)</f>
        <v>#N/A</v>
      </c>
      <c r="E52" s="13" t="e">
        <f t="shared" si="2"/>
        <v>#DIV/0!</v>
      </c>
      <c r="F52" s="13">
        <f t="shared" si="3"/>
        <v>-100</v>
      </c>
      <c r="G52" s="13" t="e">
        <f t="shared" si="0"/>
        <v>#DIV/0!</v>
      </c>
    </row>
    <row r="53" spans="3:7" x14ac:dyDescent="0.3">
      <c r="D53" s="13" t="e">
        <f>VLOOKUP(A53,'RCG INTERS '!A53:T205,20,)</f>
        <v>#N/A</v>
      </c>
      <c r="E53" s="13" t="e">
        <f t="shared" si="2"/>
        <v>#DIV/0!</v>
      </c>
      <c r="F53" s="13">
        <f t="shared" si="3"/>
        <v>-100</v>
      </c>
      <c r="G53" s="13" t="e">
        <f t="shared" si="0"/>
        <v>#DIV/0!</v>
      </c>
    </row>
    <row r="54" spans="3:7" x14ac:dyDescent="0.3">
      <c r="D54" s="13" t="e">
        <f>VLOOKUP(A54,'RCG INTERS '!A54:T206,20,)</f>
        <v>#N/A</v>
      </c>
      <c r="F54" s="13">
        <f t="shared" si="3"/>
        <v>-100</v>
      </c>
      <c r="G54" s="13" t="e">
        <f t="shared" si="0"/>
        <v>#DIV/0!</v>
      </c>
    </row>
    <row r="55" spans="3:7" x14ac:dyDescent="0.3">
      <c r="D55" s="13" t="e">
        <f>VLOOKUP(A55,'RCG INTERS '!A55:T207,20,)</f>
        <v>#N/A</v>
      </c>
      <c r="F55" s="13">
        <f t="shared" si="3"/>
        <v>-100</v>
      </c>
    </row>
    <row r="56" spans="3:7" x14ac:dyDescent="0.3">
      <c r="D56" s="13" t="e">
        <f>VLOOKUP(A56,'RCG INTERS '!A56:T208,20,)</f>
        <v>#N/A</v>
      </c>
      <c r="F56" s="13">
        <f t="shared" si="3"/>
        <v>-100</v>
      </c>
    </row>
    <row r="57" spans="3:7" x14ac:dyDescent="0.3">
      <c r="D57" s="13" t="e">
        <f>VLOOKUP(A57,'RCG INTERS '!A57:T209,20,)</f>
        <v>#N/A</v>
      </c>
      <c r="F57" s="13">
        <f t="shared" si="3"/>
        <v>-100</v>
      </c>
    </row>
    <row r="58" spans="3:7" x14ac:dyDescent="0.3">
      <c r="D58" s="13" t="e">
        <f>VLOOKUP(A58,'RCG INTERS '!A58:T210,20,)</f>
        <v>#N/A</v>
      </c>
      <c r="F58" s="13">
        <f t="shared" si="3"/>
        <v>-100</v>
      </c>
    </row>
    <row r="59" spans="3:7" x14ac:dyDescent="0.3">
      <c r="D59" s="13" t="e">
        <f>VLOOKUP(A59,'RCG INTERS '!A59:T211,20,)</f>
        <v>#N/A</v>
      </c>
      <c r="F59" s="13">
        <f t="shared" si="3"/>
        <v>-100</v>
      </c>
    </row>
    <row r="60" spans="3:7" x14ac:dyDescent="0.3">
      <c r="D60" s="13" t="e">
        <f>VLOOKUP(A60,'RCG INTERS '!A60:T212,20,)</f>
        <v>#N/A</v>
      </c>
      <c r="F60" s="13">
        <f t="shared" si="3"/>
        <v>-100</v>
      </c>
    </row>
    <row r="61" spans="3:7" x14ac:dyDescent="0.3">
      <c r="D61" s="13" t="e">
        <f>VLOOKUP(A61,'RCG INTERS '!A61:T213,20,)</f>
        <v>#N/A</v>
      </c>
      <c r="F61" s="13">
        <f t="shared" si="3"/>
        <v>-100</v>
      </c>
    </row>
    <row r="62" spans="3:7" x14ac:dyDescent="0.3">
      <c r="D62" s="13" t="e">
        <f>VLOOKUP(A62,'RCG INTERS '!A62:T214,20,)</f>
        <v>#N/A</v>
      </c>
    </row>
    <row r="63" spans="3:7" x14ac:dyDescent="0.3">
      <c r="D63" s="13" t="e">
        <f>VLOOKUP(A63,'RCG INTERS '!A63:T215,20,)</f>
        <v>#N/A</v>
      </c>
    </row>
    <row r="64" spans="3:7" x14ac:dyDescent="0.3">
      <c r="D64" s="13" t="e">
        <f>VLOOKUP(A64,'RCG INTERS '!A64:T216,20,)</f>
        <v>#N/A</v>
      </c>
    </row>
    <row r="65" spans="4:4" x14ac:dyDescent="0.3">
      <c r="D65" s="13" t="e">
        <f>VLOOKUP(A65,'RCG INTERS '!A65:T217,20,)</f>
        <v>#N/A</v>
      </c>
    </row>
    <row r="66" spans="4:4" x14ac:dyDescent="0.3">
      <c r="D66" s="13" t="e">
        <f>VLOOKUP(A66,'RCG INTERS '!A66:T218,20,)</f>
        <v>#N/A</v>
      </c>
    </row>
    <row r="67" spans="4:4" x14ac:dyDescent="0.3">
      <c r="D67" s="13" t="e">
        <f>VLOOKUP(A67,'RCG INTERS '!A67:T219,20,)</f>
        <v>#N/A</v>
      </c>
    </row>
    <row r="68" spans="4:4" x14ac:dyDescent="0.3">
      <c r="D68" s="13" t="e">
        <f>VLOOKUP(A68,'RCG INTERS '!A68:T220,20,)</f>
        <v>#N/A</v>
      </c>
    </row>
    <row r="69" spans="4:4" x14ac:dyDescent="0.3">
      <c r="D69" s="13" t="e">
        <f>VLOOKUP(A69,'RCG INTERS '!A69:T221,20,)</f>
        <v>#N/A</v>
      </c>
    </row>
    <row r="70" spans="4:4" x14ac:dyDescent="0.3">
      <c r="D70" s="13" t="e">
        <f>VLOOKUP(A70,'RCG INTERS '!A70:T222,20,)</f>
        <v>#N/A</v>
      </c>
    </row>
    <row r="71" spans="4:4" x14ac:dyDescent="0.3">
      <c r="D71" s="13" t="e">
        <f>VLOOKUP(A71,'RCG INTERS '!A71:T223,20,)</f>
        <v>#N/A</v>
      </c>
    </row>
    <row r="72" spans="4:4" x14ac:dyDescent="0.3">
      <c r="D72" s="13" t="e">
        <f>VLOOKUP(A72,'RCG INTERS '!A72:T224,20,)</f>
        <v>#N/A</v>
      </c>
    </row>
    <row r="73" spans="4:4" x14ac:dyDescent="0.3">
      <c r="D73" s="13" t="e">
        <f>VLOOKUP(A73,'RCG INTERS '!A73:T225,20,)</f>
        <v>#N/A</v>
      </c>
    </row>
    <row r="74" spans="4:4" x14ac:dyDescent="0.3">
      <c r="D74" s="13" t="e">
        <f>VLOOKUP(A74,'RCG INTERS '!A74:T226,20,)</f>
        <v>#N/A</v>
      </c>
    </row>
    <row r="75" spans="4:4" x14ac:dyDescent="0.3">
      <c r="D75" s="13" t="e">
        <f>VLOOKUP(A75,'RCG INTERS '!A75:T227,20,)</f>
        <v>#N/A</v>
      </c>
    </row>
    <row r="76" spans="4:4" x14ac:dyDescent="0.3">
      <c r="D76" s="13" t="e">
        <f>VLOOKUP(A76,'RCG INTERS '!A76:T228,20,)</f>
        <v>#N/A</v>
      </c>
    </row>
    <row r="77" spans="4:4" x14ac:dyDescent="0.3">
      <c r="D77" s="13" t="e">
        <f>VLOOKUP(A77,'RCG INTERS '!A77:T229,20,)</f>
        <v>#N/A</v>
      </c>
    </row>
    <row r="78" spans="4:4" x14ac:dyDescent="0.3">
      <c r="D78" s="13" t="e">
        <f>VLOOKUP(A78,'RCG INTERS '!A78:T230,20,)</f>
        <v>#N/A</v>
      </c>
    </row>
    <row r="79" spans="4:4" x14ac:dyDescent="0.3">
      <c r="D79" s="13" t="e">
        <f>VLOOKUP(A79,'RCG INTERS '!A79:T231,20,)</f>
        <v>#N/A</v>
      </c>
    </row>
    <row r="80" spans="4:4" x14ac:dyDescent="0.3">
      <c r="D80" s="13" t="e">
        <f>VLOOKUP(A80,'RCG INTERS '!A80:T232,20,)</f>
        <v>#N/A</v>
      </c>
    </row>
    <row r="81" spans="4:4" x14ac:dyDescent="0.3">
      <c r="D81" s="13" t="e">
        <f>VLOOKUP(A81,'RCG INTERS '!A81:T233,20,)</f>
        <v>#N/A</v>
      </c>
    </row>
    <row r="82" spans="4:4" x14ac:dyDescent="0.3">
      <c r="D82" s="13" t="e">
        <f>VLOOKUP(A82,'RCG INTERS '!A82:T234,20,)</f>
        <v>#N/A</v>
      </c>
    </row>
    <row r="83" spans="4:4" x14ac:dyDescent="0.3">
      <c r="D83" s="13" t="e">
        <f>VLOOKUP(A83,'RCG INTERS '!A83:T235,20,)</f>
        <v>#N/A</v>
      </c>
    </row>
    <row r="84" spans="4:4" x14ac:dyDescent="0.3">
      <c r="D84" s="13" t="e">
        <f>VLOOKUP(A84,'RCG INTERS '!A84:T236,20,)</f>
        <v>#N/A</v>
      </c>
    </row>
    <row r="85" spans="4:4" x14ac:dyDescent="0.3">
      <c r="D85" s="13" t="e">
        <f>VLOOKUP(A85,'RCG INTERS '!A85:T237,20,)</f>
        <v>#N/A</v>
      </c>
    </row>
    <row r="86" spans="4:4" x14ac:dyDescent="0.3">
      <c r="D86" s="13" t="e">
        <f>VLOOKUP(A86,'RCG INTERS '!A86:T238,20,)</f>
        <v>#N/A</v>
      </c>
    </row>
    <row r="87" spans="4:4" x14ac:dyDescent="0.3">
      <c r="D87" s="13" t="e">
        <f>VLOOKUP(A87,'RCG INTERS '!A87:T239,20,)</f>
        <v>#N/A</v>
      </c>
    </row>
    <row r="88" spans="4:4" x14ac:dyDescent="0.3">
      <c r="D88" s="13" t="e">
        <f>VLOOKUP(A88,'RCG INTERS '!A88:T240,20,)</f>
        <v>#N/A</v>
      </c>
    </row>
    <row r="89" spans="4:4" x14ac:dyDescent="0.3">
      <c r="D89" s="13" t="e">
        <f>VLOOKUP(A89,'RCG INTERS '!A89:T241,20,)</f>
        <v>#N/A</v>
      </c>
    </row>
    <row r="90" spans="4:4" x14ac:dyDescent="0.3">
      <c r="D90" s="13" t="e">
        <f>VLOOKUP(A90,'RCG INTERS '!A90:T242,20,)</f>
        <v>#N/A</v>
      </c>
    </row>
    <row r="91" spans="4:4" x14ac:dyDescent="0.3">
      <c r="D91" s="13" t="e">
        <f>VLOOKUP(A91,'RCG INTERS '!A91:T243,20,)</f>
        <v>#N/A</v>
      </c>
    </row>
    <row r="92" spans="4:4" x14ac:dyDescent="0.3">
      <c r="D92" s="13" t="e">
        <f>VLOOKUP(A92,'RCG INTERS '!A92:T244,20,)</f>
        <v>#N/A</v>
      </c>
    </row>
    <row r="93" spans="4:4" x14ac:dyDescent="0.3">
      <c r="D93" s="13" t="e">
        <f>VLOOKUP(A93,'RCG INTERS '!A93:T245,20,)</f>
        <v>#N/A</v>
      </c>
    </row>
    <row r="94" spans="4:4" x14ac:dyDescent="0.3">
      <c r="D94" s="13" t="e">
        <f>VLOOKUP(A94,'RCG INTERS '!A94:T246,20,)</f>
        <v>#N/A</v>
      </c>
    </row>
    <row r="95" spans="4:4" x14ac:dyDescent="0.3">
      <c r="D95" s="13" t="e">
        <f>VLOOKUP(A95,'RCG INTERS '!A95:T247,20,)</f>
        <v>#N/A</v>
      </c>
    </row>
    <row r="96" spans="4:4" x14ac:dyDescent="0.3">
      <c r="D96" s="13" t="e">
        <f>VLOOKUP(A96,'RCG INTERS '!A96:T248,20,)</f>
        <v>#N/A</v>
      </c>
    </row>
    <row r="97" spans="4:4" x14ac:dyDescent="0.3">
      <c r="D97" s="13" t="e">
        <f>VLOOKUP(A97,'RCG INTERS '!A97:T249,20,)</f>
        <v>#N/A</v>
      </c>
    </row>
    <row r="98" spans="4:4" x14ac:dyDescent="0.3">
      <c r="D98" s="13" t="e">
        <f>VLOOKUP(A98,'RCG INTERS '!A98:T250,20,)</f>
        <v>#N/A</v>
      </c>
    </row>
    <row r="99" spans="4:4" x14ac:dyDescent="0.3">
      <c r="D99" s="13" t="e">
        <f>VLOOKUP(A99,'RCG INTERS '!A99:T251,20,)</f>
        <v>#N/A</v>
      </c>
    </row>
    <row r="100" spans="4:4" x14ac:dyDescent="0.3">
      <c r="D100" s="13" t="e">
        <f>VLOOKUP(A100,'RCG INTERS '!A100:T252,20,)</f>
        <v>#N/A</v>
      </c>
    </row>
    <row r="101" spans="4:4" x14ac:dyDescent="0.3">
      <c r="D101" s="13" t="e">
        <f>VLOOKUP(A101,'RCG INTERS '!A101:T253,20,)</f>
        <v>#N/A</v>
      </c>
    </row>
    <row r="102" spans="4:4" x14ac:dyDescent="0.3">
      <c r="D102" s="13" t="e">
        <f>VLOOKUP(A102,'RCG INTERS '!A102:T254,20,)</f>
        <v>#N/A</v>
      </c>
    </row>
    <row r="103" spans="4:4" x14ac:dyDescent="0.3">
      <c r="D103" s="13" t="e">
        <f>VLOOKUP(A103,'RCG INTERS '!A103:T255,20,)</f>
        <v>#N/A</v>
      </c>
    </row>
    <row r="104" spans="4:4" x14ac:dyDescent="0.3">
      <c r="D104" s="13" t="e">
        <f>VLOOKUP(A104,'RCG INTERS '!A104:T256,20,)</f>
        <v>#N/A</v>
      </c>
    </row>
    <row r="105" spans="4:4" x14ac:dyDescent="0.3">
      <c r="D105" s="13" t="e">
        <f>VLOOKUP(A105,'RCG INTERS '!A105:T257,20,)</f>
        <v>#N/A</v>
      </c>
    </row>
    <row r="106" spans="4:4" x14ac:dyDescent="0.3">
      <c r="D106" s="13" t="e">
        <f>VLOOKUP(A106,'RCG INTERS '!A106:T258,20,)</f>
        <v>#N/A</v>
      </c>
    </row>
    <row r="107" spans="4:4" x14ac:dyDescent="0.3">
      <c r="D107" s="13" t="e">
        <f>VLOOKUP(A107,'RCG INTERS '!A107:T259,20,)</f>
        <v>#N/A</v>
      </c>
    </row>
    <row r="108" spans="4:4" x14ac:dyDescent="0.3">
      <c r="D108" s="13" t="e">
        <f>VLOOKUP(A108,'RCG INTERS '!A108:T260,20,)</f>
        <v>#N/A</v>
      </c>
    </row>
    <row r="109" spans="4:4" x14ac:dyDescent="0.3">
      <c r="D109" s="13" t="e">
        <f>VLOOKUP(A109,'RCG INTERS '!A109:T261,20,)</f>
        <v>#N/A</v>
      </c>
    </row>
    <row r="110" spans="4:4" x14ac:dyDescent="0.3">
      <c r="D110" s="13" t="e">
        <f>VLOOKUP(A110,'RCG INTERS '!A110:T262,20,)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RCG INTERS </vt:lpstr>
      <vt:lpstr>NIFTY VS RCG INTERS 3 X </vt:lpstr>
      <vt:lpstr>NIFTY VS RCG INTERS NET AMOUNT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RCG</dc:creator>
  <cp:lastModifiedBy>23BCP500DPrinceT</cp:lastModifiedBy>
  <dcterms:created xsi:type="dcterms:W3CDTF">2025-07-17T04:04:45Z</dcterms:created>
  <dcterms:modified xsi:type="dcterms:W3CDTF">2026-06-12T07:55:48Z</dcterms:modified>
</cp:coreProperties>
</file>